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Pairs" sheetId="2" state="visible" r:id="rId4"/>
  </sheets>
  <definedNames>
    <definedName function="false" hidden="true" localSheetId="1" name="_xlnm._FilterDatabase" vbProcedure="false">Pairs!$A$1:$R$61</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Q1" authorId="0">
      <text>
        <r>
          <rPr>
            <sz val="10"/>
            <rFont val="Arial"/>
            <family val="2"/>
          </rPr>
          <t xml:space="preserve">Choose same, different or unsure.</t>
        </r>
      </text>
    </comment>
  </commentList>
</comments>
</file>

<file path=xl/sharedStrings.xml><?xml version="1.0" encoding="utf-8"?>
<sst xmlns="http://schemas.openxmlformats.org/spreadsheetml/2006/main" count="920" uniqueCount="500">
  <si>
    <t xml:space="preserve">Match labelling</t>
  </si>
  <si>
    <t xml:space="preserve">Each row on the Pairs sheet is an ENWL ECR record next to the REPD record the matcher thinks is closest to it. Decide whether they describe the same physical site.</t>
  </si>
  <si>
    <t xml:space="preserve">What to edit: only the yellow Label column (and Notes if useful). Leave every other column, including the hidden ones, unchanged.</t>
  </si>
  <si>
    <t xml:space="preserve">same = the same site or the same scheme (a phase or extension of it counts as same).</t>
  </si>
  <si>
    <t xml:space="preserve">different = a different site that happens to be nearby.</t>
  </si>
  <si>
    <t xml:space="preserve">unsure = not enough information to tell; add a note saying why.</t>
  </si>
  <si>
    <t xml:space="preserve">Tips: compare names, operators and postcodes, then use the two map links. Distances of 1 to 2 km can still be the same wind or solar farm, because one source may record the connection point and the other the site centre.</t>
  </si>
  <si>
    <t xml:space="preserve">Example of a filled row: Pair 0 | CLIFTON MARSH | ... | Clifton Marsh Farm, Preston New Road - Solar Farm | ... | 65 | Label: same | Notes: same name and capacity</t>
  </si>
  <si>
    <t xml:space="preserve">Pairs labelled so far</t>
  </si>
  <si>
    <t xml:space="preserve">Pairs in sample</t>
  </si>
  <si>
    <t xml:space="preserve">Pair</t>
  </si>
  <si>
    <t xml:space="preserve">ENWL site</t>
  </si>
  <si>
    <t xml:space="preserve">ENWL operator</t>
  </si>
  <si>
    <t xml:space="preserve">ENWL technology (as published)</t>
  </si>
  <si>
    <t xml:space="preserve">ENWL MW</t>
  </si>
  <si>
    <t xml:space="preserve">ENWL status</t>
  </si>
  <si>
    <t xml:space="preserve">ENWL postcode</t>
  </si>
  <si>
    <t xml:space="preserve">REPD site</t>
  </si>
  <si>
    <t xml:space="preserve">REPD operator</t>
  </si>
  <si>
    <t xml:space="preserve">REPD technology</t>
  </si>
  <si>
    <t xml:space="preserve">REPD MW</t>
  </si>
  <si>
    <t xml:space="preserve">REPD status</t>
  </si>
  <si>
    <t xml:space="preserve">REPD postcode</t>
  </si>
  <si>
    <t xml:space="preserve">Distance (m)</t>
  </si>
  <si>
    <t xml:space="preserve">ENWL map</t>
  </si>
  <si>
    <t xml:space="preserve">REPD map</t>
  </si>
  <si>
    <t xml:space="preserve">Label</t>
  </si>
  <si>
    <t xml:space="preserve">Notes</t>
  </si>
  <si>
    <t xml:space="preserve">ecr_id</t>
  </si>
  <si>
    <t xml:space="preserve">repd_id</t>
  </si>
  <si>
    <t xml:space="preserve">stratum</t>
  </si>
  <si>
    <t xml:space="preserve">stratum_size</t>
  </si>
  <si>
    <t xml:space="preserve">name_similarity</t>
  </si>
  <si>
    <t xml:space="preserve">capacity_ratio</t>
  </si>
  <si>
    <t xml:space="preserve">family_match</t>
  </si>
  <si>
    <t xml:space="preserve">PROJECT WILLOW BANK</t>
  </si>
  <si>
    <t xml:space="preserve">NEWTON ENERGI LIMITED</t>
  </si>
  <si>
    <t xml:space="preserve">BATTERY STORAGE :: STORAGE - ELECTROCHEMICAL (BATTERIES)</t>
  </si>
  <si>
    <t xml:space="preserve">ACCEPTED TO CONNECT</t>
  </si>
  <si>
    <t xml:space="preserve">CA6 4EY</t>
  </si>
  <si>
    <t xml:space="preserve">Blackdyke Farm Battery Storage Project</t>
  </si>
  <si>
    <t xml:space="preserve">Low Carbon Storage Investment Company</t>
  </si>
  <si>
    <t xml:space="preserve">Battery</t>
  </si>
  <si>
    <t xml:space="preserve">Abandoned</t>
  </si>
  <si>
    <t xml:space="preserve">open map</t>
  </si>
  <si>
    <t xml:space="preserve">2054c6673b22a1a7</t>
  </si>
  <si>
    <t xml:space="preserve">6999</t>
  </si>
  <si>
    <t xml:space="preserve">matched_location</t>
  </si>
  <si>
    <t xml:space="preserve">LYMES WOOD LANDFILL SITE</t>
  </si>
  <si>
    <t xml:space="preserve">ENOVERT NORTH LIMITED</t>
  </si>
  <si>
    <t xml:space="preserve">BIOFUEL - LANDFILL GAS :: ENGINE (COMBUSTION / RECIPROCATING)</t>
  </si>
  <si>
    <t xml:space="preserve">CONNECTED</t>
  </si>
  <si>
    <t xml:space="preserve">WA11 0RN</t>
  </si>
  <si>
    <t xml:space="preserve">Enviropax, Hall Wood Avenue - Solar Panels</t>
  </si>
  <si>
    <t xml:space="preserve">Mileway</t>
  </si>
  <si>
    <t xml:space="preserve">Solar Photovoltaics</t>
  </si>
  <si>
    <t xml:space="preserve">Awaiting Construction</t>
  </si>
  <si>
    <t xml:space="preserve">WA11 9WH</t>
  </si>
  <si>
    <t xml:space="preserve">bcaed3cd8495b3a1</t>
  </si>
  <si>
    <t xml:space="preserve">20429</t>
  </si>
  <si>
    <t xml:space="preserve">nearby_other_technology</t>
  </si>
  <si>
    <t xml:space="preserve">GREAT ORTON</t>
  </si>
  <si>
    <t xml:space="preserve">RIDGE CLEAN ENERGY</t>
  </si>
  <si>
    <t xml:space="preserve">WIND :: ONSHORE WIND TURBINES</t>
  </si>
  <si>
    <t xml:space="preserve">CA7 0JP</t>
  </si>
  <si>
    <t xml:space="preserve">Great Orton</t>
  </si>
  <si>
    <t xml:space="preserve">Cumbria Wind Farms</t>
  </si>
  <si>
    <t xml:space="preserve">Wind Onshore</t>
  </si>
  <si>
    <t xml:space="preserve">Operational</t>
  </si>
  <si>
    <t xml:space="preserve">a705ce7c54d8ef1e</t>
  </si>
  <si>
    <t xml:space="preserve">3491</t>
  </si>
  <si>
    <t xml:space="preserve">matched_name</t>
  </si>
  <si>
    <t xml:space="preserve">BENT SPUR FARM</t>
  </si>
  <si>
    <t xml:space="preserve">CS BENT SPUR SOLAR FARM LTD</t>
  </si>
  <si>
    <t xml:space="preserve">SOLAR :: PHOTOVOLTAIC</t>
  </si>
  <si>
    <t xml:space="preserve">BL4 8SJ</t>
  </si>
  <si>
    <t xml:space="preserve">Bent Spur Solar Farm</t>
  </si>
  <si>
    <t xml:space="preserve">Active Renewables</t>
  </si>
  <si>
    <t xml:space="preserve">7eb7e59e89e84ff0</t>
  </si>
  <si>
    <t xml:space="preserve">5723</t>
  </si>
  <si>
    <t xml:space="preserve">LIMERS GATE</t>
  </si>
  <si>
    <t xml:space="preserve">O&amp;G GROUP LIMITED</t>
  </si>
  <si>
    <t xml:space="preserve">OL14 7HT</t>
  </si>
  <si>
    <t xml:space="preserve">Tooter Hill and Hogshead Hill</t>
  </si>
  <si>
    <t xml:space="preserve">Renewable Energy Systems RES ltd (Beaufort)</t>
  </si>
  <si>
    <t xml:space="preserve">Application Refused</t>
  </si>
  <si>
    <t xml:space="preserve">85adf08f5bec79b0</t>
  </si>
  <si>
    <t xml:space="preserve">2936</t>
  </si>
  <si>
    <t xml:space="preserve">LOW BENTHAM SOLAR FARM</t>
  </si>
  <si>
    <t xml:space="preserve">TAU SOLAR LIMITED</t>
  </si>
  <si>
    <t xml:space="preserve">LA2 7EU</t>
  </si>
  <si>
    <t xml:space="preserve">Ravens Close</t>
  </si>
  <si>
    <t xml:space="preserve">Tau Solar</t>
  </si>
  <si>
    <t xml:space="preserve">0cf52fcdbe3ac72e</t>
  </si>
  <si>
    <t xml:space="preserve">5931</t>
  </si>
  <si>
    <t xml:space="preserve">ORRELL BESS</t>
  </si>
  <si>
    <t xml:space="preserve">UKGEA 1 LIMITED</t>
  </si>
  <si>
    <t xml:space="preserve">STORED ENERGY (ALL STORED ENERGY IRRESPECTVE OF THE ORIGINAL ENERGY SOURCE) :: STORAGE - ELECTROCHEMICAL (BATTERIES)</t>
  </si>
  <si>
    <t xml:space="preserve">WN5 7XX</t>
  </si>
  <si>
    <t xml:space="preserve">Sandyforth Farm, Ashton Road - Battery Energy Storage</t>
  </si>
  <si>
    <t xml:space="preserve">UKGEA</t>
  </si>
  <si>
    <t xml:space="preserve">WN5 7XZ</t>
  </si>
  <si>
    <t xml:space="preserve">b2e771112ec22c70</t>
  </si>
  <si>
    <t xml:space="preserve">15930</t>
  </si>
  <si>
    <t xml:space="preserve">SALFORD NHS FOUNDATION TRUST</t>
  </si>
  <si>
    <t xml:space="preserve">BAM CONSTRUCTION</t>
  </si>
  <si>
    <t xml:space="preserve">STANDBY GEN :: ENGINE (COMBUSTION / RECIPROCATING)</t>
  </si>
  <si>
    <t xml:space="preserve">M6 8HD</t>
  </si>
  <si>
    <t xml:space="preserve">Tenax Road - Renewable Energy Biomass Plant</t>
  </si>
  <si>
    <t xml:space="preserve">Fluid Leader Plc</t>
  </si>
  <si>
    <t xml:space="preserve">Biomass (dedicated)</t>
  </si>
  <si>
    <t xml:space="preserve">M17 1JT</t>
  </si>
  <si>
    <t xml:space="preserve">60542ceabb420b3a</t>
  </si>
  <si>
    <t xml:space="preserve">136</t>
  </si>
  <si>
    <t xml:space="preserve">BILLINGE HILL QUARRY LANDFILL</t>
  </si>
  <si>
    <t xml:space="preserve">NOVERA ENERGY (HOLDINGS 2) LIMITED</t>
  </si>
  <si>
    <t xml:space="preserve">WN5 7PG</t>
  </si>
  <si>
    <t xml:space="preserve">Billinge Hill Quarry Landfill Scheme</t>
  </si>
  <si>
    <t xml:space="preserve">Bidston Methane</t>
  </si>
  <si>
    <t xml:space="preserve">Landfill Gas</t>
  </si>
  <si>
    <t xml:space="preserve">8119b87a5a080b70</t>
  </si>
  <si>
    <t xml:space="preserve">573</t>
  </si>
  <si>
    <t xml:space="preserve">SNAPEWOOD FARM</t>
  </si>
  <si>
    <t xml:space="preserve">ABEI ENERGY GREEN V LIMITED</t>
  </si>
  <si>
    <t xml:space="preserve">PR3 0LA</t>
  </si>
  <si>
    <t xml:space="preserve">Snapewood Solar Farm</t>
  </si>
  <si>
    <t xml:space="preserve">ABEI Energy</t>
  </si>
  <si>
    <t xml:space="preserve">PR3 0JT</t>
  </si>
  <si>
    <t xml:space="preserve">5845ebe647ce77a1</t>
  </si>
  <si>
    <t xml:space="preserve">15697</t>
  </si>
  <si>
    <t xml:space="preserve">RAMSCLOUGH SOLAR FARM</t>
  </si>
  <si>
    <t xml:space="preserve">ABEI ENERGY LTD</t>
  </si>
  <si>
    <t xml:space="preserve">SOLAR PV :: PHOTOVOLTAIC</t>
  </si>
  <si>
    <t xml:space="preserve">BB5 3SL</t>
  </si>
  <si>
    <t xml:space="preserve">Ramsclough Farm, Haslingden Old Road - Solar Farm</t>
  </si>
  <si>
    <t xml:space="preserve">Abei Energy Limited</t>
  </si>
  <si>
    <t xml:space="preserve">Application Submitted</t>
  </si>
  <si>
    <t xml:space="preserve">BB5 3SN</t>
  </si>
  <si>
    <t xml:space="preserve">f029872a7e66f27c</t>
  </si>
  <si>
    <t xml:space="preserve">19457</t>
  </si>
  <si>
    <t xml:space="preserve">KINGSWAY BP BESS</t>
  </si>
  <si>
    <t xml:space="preserve">BALANCE POWER PROJECTS LTD</t>
  </si>
  <si>
    <t xml:space="preserve">OL16 4NR</t>
  </si>
  <si>
    <t xml:space="preserve">Dig Gate Lane - Battery Energy Storage</t>
  </si>
  <si>
    <t xml:space="preserve">Balance Power Projects Limited</t>
  </si>
  <si>
    <t xml:space="preserve">OL16 4GE</t>
  </si>
  <si>
    <t xml:space="preserve">7578a0ce1f02d496</t>
  </si>
  <si>
    <t xml:space="preserve">16228</t>
  </si>
  <si>
    <t xml:space="preserve">BUXTON ROAD BESS</t>
  </si>
  <si>
    <t xml:space="preserve">GRENERGY RENEWABLES UK LTD</t>
  </si>
  <si>
    <t xml:space="preserve">SK17 8DL</t>
  </si>
  <si>
    <t xml:space="preserve">Buxton Road, Dove Holes - Battery Energy Storage System</t>
  </si>
  <si>
    <t xml:space="preserve">Grenergy Renewables UK Limited</t>
  </si>
  <si>
    <t xml:space="preserve">SK17 8DW</t>
  </si>
  <si>
    <t xml:space="preserve">390681ed9a7e971b</t>
  </si>
  <si>
    <t xml:space="preserve">17781</t>
  </si>
  <si>
    <t xml:space="preserve">KIDDS TRANSPORT BESS</t>
  </si>
  <si>
    <t xml:space="preserve">ENERGI GENERATION 12 LTD</t>
  </si>
  <si>
    <t xml:space="preserve">LA1 3PE</t>
  </si>
  <si>
    <t xml:space="preserve">Caton Road, Lancaster - Battery Storage Facility</t>
  </si>
  <si>
    <t xml:space="preserve">Energi Generation 12 Limited</t>
  </si>
  <si>
    <t xml:space="preserve">0e24c8e074afd45d</t>
  </si>
  <si>
    <t xml:space="preserve">10047</t>
  </si>
  <si>
    <t xml:space="preserve">WIGAN ETW</t>
  </si>
  <si>
    <t xml:space="preserve">UNITED UTILITIES WATER LTD</t>
  </si>
  <si>
    <t xml:space="preserve">L40 4BL</t>
  </si>
  <si>
    <t xml:space="preserve">Wanes Blades Road Solar Farm</t>
  </si>
  <si>
    <t xml:space="preserve">Green Switch Solutions</t>
  </si>
  <si>
    <t xml:space="preserve">bcb72156aa94c0c4</t>
  </si>
  <si>
    <t xml:space="preserve">1206</t>
  </si>
  <si>
    <t xml:space="preserve">capacity_mismatch</t>
  </si>
  <si>
    <t xml:space="preserve">CROOK HILL WIND FARM</t>
  </si>
  <si>
    <t xml:space="preserve">CROOK HILL PROPERTIES LTD</t>
  </si>
  <si>
    <t xml:space="preserve">OL12 8XF</t>
  </si>
  <si>
    <t xml:space="preserve">Crook Hill (Rochdale MBC) 2 of 2</t>
  </si>
  <si>
    <t xml:space="preserve">Infrared Capital Partners</t>
  </si>
  <si>
    <t xml:space="preserve">2b63e236b5fb66e8</t>
  </si>
  <si>
    <t xml:space="preserve">4659</t>
  </si>
  <si>
    <t xml:space="preserve">JAMESON ROAD LANDFILL SITE 3</t>
  </si>
  <si>
    <t xml:space="preserve">JAMESON ROAD ENERGY LTD</t>
  </si>
  <si>
    <t xml:space="preserve">FY7 8TW</t>
  </si>
  <si>
    <t xml:space="preserve">Jameson Road</t>
  </si>
  <si>
    <t xml:space="preserve">SITA UK</t>
  </si>
  <si>
    <t xml:space="preserve">8e16c6e42c64163b</t>
  </si>
  <si>
    <t xml:space="preserve">708</t>
  </si>
  <si>
    <t xml:space="preserve">GREAT ORTON ENERGY PARK</t>
  </si>
  <si>
    <t xml:space="preserve">3efb9f0e811f556d</t>
  </si>
  <si>
    <t xml:space="preserve">ALDERLEY HOUSE, ALDERLEY PARK</t>
  </si>
  <si>
    <t xml:space="preserve">GREATER MANCHESTER COMBINED AUTHORITY</t>
  </si>
  <si>
    <t xml:space="preserve">BL5 1DG</t>
  </si>
  <si>
    <t xml:space="preserve">Salford Road Solar Farm</t>
  </si>
  <si>
    <t xml:space="preserve">Greater Manchester Waste Disposal Authority</t>
  </si>
  <si>
    <t xml:space="preserve">BL5 1DB</t>
  </si>
  <si>
    <t xml:space="preserve">0b76a93882503d5a</t>
  </si>
  <si>
    <t xml:space="preserve">5303</t>
  </si>
  <si>
    <t xml:space="preserve">JAMESON ROAD</t>
  </si>
  <si>
    <t xml:space="preserve">CLARE LANKESTER</t>
  </si>
  <si>
    <t xml:space="preserve">FY7 7AA</t>
  </si>
  <si>
    <t xml:space="preserve">3c5ff6e6949e2b1a</t>
  </si>
  <si>
    <t xml:space="preserve">MAN AIRPORT (AMAZON) PV ARRAY</t>
  </si>
  <si>
    <t xml:space="preserve">MANCHESTER AIRPORT GROUP</t>
  </si>
  <si>
    <t xml:space="preserve">M90 1QX</t>
  </si>
  <si>
    <t xml:space="preserve">Thg Icon, Sunbank Lane, Unit 2 - Solar Array</t>
  </si>
  <si>
    <t xml:space="preserve">Olympus Power</t>
  </si>
  <si>
    <t xml:space="preserve">WA15 0AF</t>
  </si>
  <si>
    <t xml:space="preserve">f0e2aa30ca4e66d8</t>
  </si>
  <si>
    <t xml:space="preserve">18771</t>
  </si>
  <si>
    <t xml:space="preserve">weak_candidate</t>
  </si>
  <si>
    <t xml:space="preserve">STYAL ROAD</t>
  </si>
  <si>
    <t xml:space="preserve">MARK HENSOR</t>
  </si>
  <si>
    <t xml:space="preserve">SK10 2LP</t>
  </si>
  <si>
    <t xml:space="preserve">Fence House, Fence Avenue - Solar Pv Panels</t>
  </si>
  <si>
    <t xml:space="preserve">Armadillo Self Storage</t>
  </si>
  <si>
    <t xml:space="preserve">SK10 1LT</t>
  </si>
  <si>
    <t xml:space="preserve">ad46c5f5af1cdbda</t>
  </si>
  <si>
    <t xml:space="preserve">14918</t>
  </si>
  <si>
    <t xml:space="preserve">BARROW FLOATING SOLAR</t>
  </si>
  <si>
    <t xml:space="preserve">NET ZERO MARINE LIMITED</t>
  </si>
  <si>
    <t xml:space="preserve">PV &amp; BESS :: PV &amp; BESS</t>
  </si>
  <si>
    <t xml:space="preserve">LA14 2GR</t>
  </si>
  <si>
    <t xml:space="preserve">North Road - Roof Mounted Solar Arrays</t>
  </si>
  <si>
    <t xml:space="preserve">Barrow Borough Council</t>
  </si>
  <si>
    <t xml:space="preserve">LA14 2PW</t>
  </si>
  <si>
    <t xml:space="preserve">1b6d2bdb238aab07</t>
  </si>
  <si>
    <t xml:space="preserve">10166</t>
  </si>
  <si>
    <t xml:space="preserve">KIRKBY MOOR WIND FARM</t>
  </si>
  <si>
    <t xml:space="preserve">BEAUFORT WIND LTD</t>
  </si>
  <si>
    <t xml:space="preserve">LA17 7UN</t>
  </si>
  <si>
    <t xml:space="preserve">Kirkby Moor Repowering</t>
  </si>
  <si>
    <t xml:space="preserve">RWE Renewables</t>
  </si>
  <si>
    <t xml:space="preserve">LA1 7</t>
  </si>
  <si>
    <t xml:space="preserve">13ee95d8b08c571a</t>
  </si>
  <si>
    <t xml:space="preserve">3637</t>
  </si>
  <si>
    <t xml:space="preserve">IGC LYDIA BECKER WAY</t>
  </si>
  <si>
    <t xml:space="preserve">SHAWTON ENERGY</t>
  </si>
  <si>
    <t xml:space="preserve">SOLAR :: PV</t>
  </si>
  <si>
    <t xml:space="preserve">OL9 9JE</t>
  </si>
  <si>
    <t xml:space="preserve">IGC, Lydia Becker Way - Solar Panels</t>
  </si>
  <si>
    <t xml:space="preserve">Ashcroft Electrical Services Limited</t>
  </si>
  <si>
    <t xml:space="preserve">cc1b1abc8f385cb6</t>
  </si>
  <si>
    <t xml:space="preserve">19482</t>
  </si>
  <si>
    <t xml:space="preserve">HOUGHTON BESS</t>
  </si>
  <si>
    <t xml:space="preserve">UNICORN RENEWABLES</t>
  </si>
  <si>
    <t xml:space="preserve">BB5 5US</t>
  </si>
  <si>
    <t xml:space="preserve">Burnley Road</t>
  </si>
  <si>
    <t xml:space="preserve">UK Power Reserve</t>
  </si>
  <si>
    <t xml:space="preserve">Planning Permission Expired</t>
  </si>
  <si>
    <t xml:space="preserve">BB12 7ND</t>
  </si>
  <si>
    <t xml:space="preserve">cf8bd08f2f39dc45</t>
  </si>
  <si>
    <t xml:space="preserve">7071</t>
  </si>
  <si>
    <t xml:space="preserve">COAL CLOUGH</t>
  </si>
  <si>
    <t xml:space="preserve">SCOTTISH POWER RENEWABLES</t>
  </si>
  <si>
    <t xml:space="preserve">BB11 4PG</t>
  </si>
  <si>
    <t xml:space="preserve">Crow Wood, Holme Road - Solar Array</t>
  </si>
  <si>
    <t xml:space="preserve">Crow Wood Leisure Limited</t>
  </si>
  <si>
    <t xml:space="preserve">BB12 0RT</t>
  </si>
  <si>
    <t xml:space="preserve">1376eb44ec26de0d</t>
  </si>
  <si>
    <t xml:space="preserve">13260</t>
  </si>
  <si>
    <t xml:space="preserve">KIRKLESS LANDFILL SITE</t>
  </si>
  <si>
    <t xml:space="preserve">INFINIS ENERGY SERVICES LIMITED</t>
  </si>
  <si>
    <t xml:space="preserve">WN2 2ER</t>
  </si>
  <si>
    <t xml:space="preserve">Kirkless Power</t>
  </si>
  <si>
    <t xml:space="preserve">FCC Environment</t>
  </si>
  <si>
    <t xml:space="preserve">beb699aff0ce55c1</t>
  </si>
  <si>
    <t xml:space="preserve">792</t>
  </si>
  <si>
    <t xml:space="preserve">SEWAGES WORKS</t>
  </si>
  <si>
    <t xml:space="preserve">OL11 4QH</t>
  </si>
  <si>
    <t xml:space="preserve">Spotland Stadium, Sandy Lane - Solar Panels</t>
  </si>
  <si>
    <t xml:space="preserve">Rochdale AFC</t>
  </si>
  <si>
    <t xml:space="preserve">OL11 5DR</t>
  </si>
  <si>
    <t xml:space="preserve">0b2fc3cd6d73223f</t>
  </si>
  <si>
    <t xml:space="preserve">17631</t>
  </si>
  <si>
    <t xml:space="preserve">HAMILTON BESS</t>
  </si>
  <si>
    <t xml:space="preserve">STOR POWER LTD</t>
  </si>
  <si>
    <t xml:space="preserve">OL4 1SA</t>
  </si>
  <si>
    <t xml:space="preserve">Lowerfields Farm, Warren Lane - Battery Energy Storage System</t>
  </si>
  <si>
    <t xml:space="preserve">Renewable Connections Developments Limited</t>
  </si>
  <si>
    <t xml:space="preserve">OL8 2HY</t>
  </si>
  <si>
    <t xml:space="preserve">f426fed38864b6d5</t>
  </si>
  <si>
    <t xml:space="preserve">19458</t>
  </si>
  <si>
    <t xml:space="preserve">HEATEN HALL FARM BESS</t>
  </si>
  <si>
    <t xml:space="preserve">BSR APPLICATIONS LTD</t>
  </si>
  <si>
    <t xml:space="preserve">LA3 3JS</t>
  </si>
  <si>
    <t xml:space="preserve">Heysham Energy Storage Project</t>
  </si>
  <si>
    <t xml:space="preserve">Kona Energy Limited</t>
  </si>
  <si>
    <t xml:space="preserve">LA3 2FQ</t>
  </si>
  <si>
    <t xml:space="preserve">20b59d69f837b332</t>
  </si>
  <si>
    <t xml:space="preserve">9545</t>
  </si>
  <si>
    <t xml:space="preserve">DISTINGTON LANDFILL SITE</t>
  </si>
  <si>
    <t xml:space="preserve">CA14 4JP</t>
  </si>
  <si>
    <t xml:space="preserve">Distington Landfill</t>
  </si>
  <si>
    <t xml:space="preserve">Thomas Graveson Ltd</t>
  </si>
  <si>
    <t xml:space="preserve">ad1060a586257015</t>
  </si>
  <si>
    <t xml:space="preserve">568</t>
  </si>
  <si>
    <t xml:space="preserve">SILVER LANE 5</t>
  </si>
  <si>
    <t xml:space="preserve">BIFFA WASTE SERVICES LIMITED</t>
  </si>
  <si>
    <t xml:space="preserve">WA3 6BY</t>
  </si>
  <si>
    <t xml:space="preserve">Risley</t>
  </si>
  <si>
    <t xml:space="preserve">Biffa</t>
  </si>
  <si>
    <t xml:space="preserve">2ab46c05045b5657</t>
  </si>
  <si>
    <t xml:space="preserve">778</t>
  </si>
  <si>
    <t xml:space="preserve">NEWTON RIGG COLLEGE</t>
  </si>
  <si>
    <t xml:space="preserve">PENGEN</t>
  </si>
  <si>
    <t xml:space="preserve">STORED ENERGY (ALL STORED ENERGY IRRESPECTVE OF THE ORIGINAL ENERGY SOURCE) :: STORAGE - OTHER</t>
  </si>
  <si>
    <t xml:space="preserve">CA10 0BF</t>
  </si>
  <si>
    <t xml:space="preserve">Omega Proteins - Solar Farm &amp; Battery Storage</t>
  </si>
  <si>
    <t xml:space="preserve">Leo Group Limited</t>
  </si>
  <si>
    <t xml:space="preserve">CA11 0BX</t>
  </si>
  <si>
    <t xml:space="preserve">fe44fafdcd6534f9</t>
  </si>
  <si>
    <t xml:space="preserve">9544</t>
  </si>
  <si>
    <t xml:space="preserve">SAMLESBURY BREWERY</t>
  </si>
  <si>
    <t xml:space="preserve">LIGHTSOURCE RENEWABLE DEVELOPMENT L</t>
  </si>
  <si>
    <t xml:space="preserve">PR5 0XD</t>
  </si>
  <si>
    <t xml:space="preserve">AB Inbev UK</t>
  </si>
  <si>
    <t xml:space="preserve">Perpetum Sun</t>
  </si>
  <si>
    <t xml:space="preserve">f104f0e2635e3ef2</t>
  </si>
  <si>
    <t xml:space="preserve">5809</t>
  </si>
  <si>
    <t xml:space="preserve">HEATEN HALL FARM BESS+WIND</t>
  </si>
  <si>
    <t xml:space="preserve">BESS &amp; WIND :: </t>
  </si>
  <si>
    <t xml:space="preserve">Lancaster Power Extension, Middleton Road - Energy Storage Facility</t>
  </si>
  <si>
    <t xml:space="preserve">Infra Balance New Energy</t>
  </si>
  <si>
    <t xml:space="preserve">LA3 3NT</t>
  </si>
  <si>
    <t xml:space="preserve">d12fcd26a8b11e2a</t>
  </si>
  <si>
    <t xml:space="preserve">12125</t>
  </si>
  <si>
    <t xml:space="preserve">MOOR ISLES FARM</t>
  </si>
  <si>
    <t xml:space="preserve">EUROPEAN ENERGY DEVELOPMENT LTD</t>
  </si>
  <si>
    <t xml:space="preserve">BB12 9EG</t>
  </si>
  <si>
    <t xml:space="preserve">The Old Vicarage, Reedley - Battery Storage</t>
  </si>
  <si>
    <t xml:space="preserve">European Energy A/S</t>
  </si>
  <si>
    <t xml:space="preserve">BB12 9NR</t>
  </si>
  <si>
    <t xml:space="preserve">a2e172743d598f48</t>
  </si>
  <si>
    <t xml:space="preserve">12767</t>
  </si>
  <si>
    <t xml:space="preserve">CLD040 BLACKPOOL EAST</t>
  </si>
  <si>
    <t xml:space="preserve">GRIDSERVE</t>
  </si>
  <si>
    <t xml:space="preserve">SOLAR :: STORAGE - ELECTROCHEMICAL (BATTERIES)</t>
  </si>
  <si>
    <t xml:space="preserve">FY3 0DF</t>
  </si>
  <si>
    <t xml:space="preserve">Smithy Lane, Staining - Solar PV Panels &amp; BESS</t>
  </si>
  <si>
    <t xml:space="preserve">Boom Power Limited</t>
  </si>
  <si>
    <t xml:space="preserve">FY3 0BJ</t>
  </si>
  <si>
    <t xml:space="preserve">861ba97743e7f518</t>
  </si>
  <si>
    <t xml:space="preserve">20961</t>
  </si>
  <si>
    <t xml:space="preserve">PASTURE FARM</t>
  </si>
  <si>
    <t xml:space="preserve">GEDULAH SOLAR LTD</t>
  </si>
  <si>
    <t xml:space="preserve">CA7 3JU</t>
  </si>
  <si>
    <t xml:space="preserve">Aspatria</t>
  </si>
  <si>
    <t xml:space="preserve">United Photovoltaics</t>
  </si>
  <si>
    <t xml:space="preserve">68b3f1a6c8388222</t>
  </si>
  <si>
    <t xml:space="preserve">2007</t>
  </si>
  <si>
    <t xml:space="preserve">YEW TREE DAIRY</t>
  </si>
  <si>
    <t xml:space="preserve">AGREN POWER AND ENERGY LTD</t>
  </si>
  <si>
    <t xml:space="preserve">OTHER :: OTHER</t>
  </si>
  <si>
    <t xml:space="preserve">WN8 9PS</t>
  </si>
  <si>
    <t xml:space="preserve">Barton House Farm, Pimbo Road - Wind Turbine</t>
  </si>
  <si>
    <t xml:space="preserve">Green Energy Nationwide</t>
  </si>
  <si>
    <t xml:space="preserve">WN8 9PA</t>
  </si>
  <si>
    <t xml:space="preserve">816293a7207781ef</t>
  </si>
  <si>
    <t xml:space="preserve">17980</t>
  </si>
  <si>
    <t xml:space="preserve">SOWERBY LODGE SOLAR FARM</t>
  </si>
  <si>
    <t xml:space="preserve">NOVENTUM POWER</t>
  </si>
  <si>
    <t xml:space="preserve">LA14 4QY</t>
  </si>
  <si>
    <t xml:space="preserve">Sowerby Lodge</t>
  </si>
  <si>
    <t xml:space="preserve">Sowerby Solar Solar Ltd</t>
  </si>
  <si>
    <t xml:space="preserve">02f02785afe8a024</t>
  </si>
  <si>
    <t xml:space="preserve">5651</t>
  </si>
  <si>
    <t xml:space="preserve">LOWER 48</t>
  </si>
  <si>
    <t xml:space="preserve">LOWER 48 ENERGY LTD</t>
  </si>
  <si>
    <t xml:space="preserve">FY8 4NH</t>
  </si>
  <si>
    <t xml:space="preserve">West Moss Lane, Higher Ballam - Battery Energy Storage System</t>
  </si>
  <si>
    <t xml:space="preserve">Lower 48 Energy BESS Limited</t>
  </si>
  <si>
    <t xml:space="preserve">91ce6f9e438b8c59</t>
  </si>
  <si>
    <t xml:space="preserve">16767</t>
  </si>
  <si>
    <t xml:space="preserve">COAL PIT LANE</t>
  </si>
  <si>
    <t xml:space="preserve">PULSE CLEAN ENERGY</t>
  </si>
  <si>
    <t xml:space="preserve">M46 0RL</t>
  </si>
  <si>
    <t xml:space="preserve">Atherton - Battery energy storage</t>
  </si>
  <si>
    <t xml:space="preserve">FPC Electric Land Limited / Pulse Clean Energy</t>
  </si>
  <si>
    <t xml:space="preserve">M46 0RY</t>
  </si>
  <si>
    <t xml:space="preserve">1ce717343462b881</t>
  </si>
  <si>
    <t xml:space="preserve">11151</t>
  </si>
  <si>
    <t xml:space="preserve">HUNTROYDE</t>
  </si>
  <si>
    <t xml:space="preserve">ENERGI GENERATION 8 LTD</t>
  </si>
  <si>
    <t xml:space="preserve">BB12 7HL</t>
  </si>
  <si>
    <t xml:space="preserve">07a89568b9da667f</t>
  </si>
  <si>
    <t xml:space="preserve">HAMELDON HILL WIND FARM</t>
  </si>
  <si>
    <t xml:space="preserve">INNOGY RENEWABLES UK LIMITED</t>
  </si>
  <si>
    <t xml:space="preserve">BB11 5QQ</t>
  </si>
  <si>
    <t xml:space="preserve">Hameldon Hill Wind Farm (extension 2)</t>
  </si>
  <si>
    <t xml:space="preserve">FAB Energy</t>
  </si>
  <si>
    <t xml:space="preserve">b6245f54e87a7592</t>
  </si>
  <si>
    <t xml:space="preserve">6137</t>
  </si>
  <si>
    <t xml:space="preserve">POULTON POWER</t>
  </si>
  <si>
    <t xml:space="preserve">AMP ENERGY SERVICES LIMITED</t>
  </si>
  <si>
    <t xml:space="preserve">FY6 8JU</t>
  </si>
  <si>
    <t xml:space="preserve">Aldon Road</t>
  </si>
  <si>
    <t xml:space="preserve">STOR Power</t>
  </si>
  <si>
    <t xml:space="preserve">FY6 8JL</t>
  </si>
  <si>
    <t xml:space="preserve">1bc62d3b8baf663d</t>
  </si>
  <si>
    <t xml:space="preserve">7070</t>
  </si>
  <si>
    <t xml:space="preserve">SALT AYRE LANDFILL 2</t>
  </si>
  <si>
    <t xml:space="preserve">VIRIDIS ENERGY (NORGEN) LIMITED</t>
  </si>
  <si>
    <t xml:space="preserve">LA1 5JS</t>
  </si>
  <si>
    <t xml:space="preserve">Salt Ayre</t>
  </si>
  <si>
    <t xml:space="preserve">Natural Power / SITA UK</t>
  </si>
  <si>
    <t xml:space="preserve">0e204ee9960a5a9a</t>
  </si>
  <si>
    <t xml:space="preserve">748</t>
  </si>
  <si>
    <t xml:space="preserve">TOWN LANE BESS</t>
  </si>
  <si>
    <t xml:space="preserve">LEADING INITIATIVES LTD</t>
  </si>
  <si>
    <t xml:space="preserve">PR7 5HQ</t>
  </si>
  <si>
    <t xml:space="preserve">Charnock Richard - Battery Storage</t>
  </si>
  <si>
    <t xml:space="preserve">Pulse Clean Energy</t>
  </si>
  <si>
    <t xml:space="preserve">bb89963c8c5acf4b</t>
  </si>
  <si>
    <t xml:space="preserve">20393</t>
  </si>
  <si>
    <t xml:space="preserve">ALDI STORES LTD</t>
  </si>
  <si>
    <t xml:space="preserve">BUILDING MANAGEMENT TECHNOLOGY</t>
  </si>
  <si>
    <t xml:space="preserve">BL5 1BT</t>
  </si>
  <si>
    <t xml:space="preserve">652063a49c1336e0</t>
  </si>
  <si>
    <t xml:space="preserve">HEYSHAM WIND FARM</t>
  </si>
  <si>
    <t xml:space="preserve">LOCOGEN</t>
  </si>
  <si>
    <t xml:space="preserve">LA3 2HJ</t>
  </si>
  <si>
    <t xml:space="preserve">Fanny House Farm/Heysham Moss</t>
  </si>
  <si>
    <t xml:space="preserve">Blue Energy</t>
  </si>
  <si>
    <t xml:space="preserve">LA3 3EF</t>
  </si>
  <si>
    <t xml:space="preserve">d63d610f9244bc74</t>
  </si>
  <si>
    <t xml:space="preserve">3792</t>
  </si>
  <si>
    <t xml:space="preserve">SOUTH MANCHESTER BESS</t>
  </si>
  <si>
    <t xml:space="preserve">24 POWER LTD</t>
  </si>
  <si>
    <t xml:space="preserve">M33 2JU</t>
  </si>
  <si>
    <t xml:space="preserve">Freshfields, Fairy Lane - Battery Storage</t>
  </si>
  <si>
    <t xml:space="preserve">STOR Power Utilities Limited</t>
  </si>
  <si>
    <t xml:space="preserve">Under Construction</t>
  </si>
  <si>
    <t xml:space="preserve">e9ebda1cc2cfa3f8</t>
  </si>
  <si>
    <t xml:space="preserve">12694</t>
  </si>
  <si>
    <t xml:space="preserve">DENNY BECK</t>
  </si>
  <si>
    <t xml:space="preserve">ABEI ENERGY GREEN II LTD</t>
  </si>
  <si>
    <t xml:space="preserve">LA2 8HQ</t>
  </si>
  <si>
    <t xml:space="preserve">Moorside Farm - Solar Farm</t>
  </si>
  <si>
    <t xml:space="preserve">Opdenergy UK Limited</t>
  </si>
  <si>
    <t xml:space="preserve">LA1 3JY</t>
  </si>
  <si>
    <t xml:space="preserve">c0232ed4fb33d514</t>
  </si>
  <si>
    <t xml:space="preserve">8497</t>
  </si>
  <si>
    <t xml:space="preserve">HAZEL GROVE PV SOLAR FARM</t>
  </si>
  <si>
    <t xml:space="preserve">CONRAD ENERGY LTD</t>
  </si>
  <si>
    <t xml:space="preserve">SK7 6NP</t>
  </si>
  <si>
    <t xml:space="preserve">Torkington Road, Hazel Grove - Solar PV Panels</t>
  </si>
  <si>
    <t xml:space="preserve">Conrad Energy (Developments) Limited</t>
  </si>
  <si>
    <t xml:space="preserve">SK7 6NW</t>
  </si>
  <si>
    <t xml:space="preserve">19e1374a734475d2</t>
  </si>
  <si>
    <t xml:space="preserve">19250</t>
  </si>
  <si>
    <t xml:space="preserve">CLIVIGER WIND FARM</t>
  </si>
  <si>
    <t xml:space="preserve">BRIGHTSIDE CONNECTIONS</t>
  </si>
  <si>
    <t xml:space="preserve">BB11 4EL</t>
  </si>
  <si>
    <t xml:space="preserve">743957ee64b9a0c5</t>
  </si>
  <si>
    <t xml:space="preserve">PETS CHOICE LTD</t>
  </si>
  <si>
    <t xml:space="preserve">CONRAD ENERGY (DEVELOPMENTS) II LIMITED</t>
  </si>
  <si>
    <t xml:space="preserve">BB1 3ES</t>
  </si>
  <si>
    <t xml:space="preserve">Davies Road - Whitebirk Battery Storage</t>
  </si>
  <si>
    <t xml:space="preserve">Field</t>
  </si>
  <si>
    <t xml:space="preserve">BB1 3HR</t>
  </si>
  <si>
    <t xml:space="preserve">444203a8ca2c0f3d</t>
  </si>
  <si>
    <t xml:space="preserve">9563</t>
  </si>
  <si>
    <t xml:space="preserve">WYTHEGILL WIND FARM</t>
  </si>
  <si>
    <t xml:space="preserve">AREVON ENERGY</t>
  </si>
  <si>
    <t xml:space="preserve">CA14 1NW</t>
  </si>
  <si>
    <t xml:space="preserve">Wythegill Wind Turbine</t>
  </si>
  <si>
    <t xml:space="preserve">Airvolution Energy</t>
  </si>
  <si>
    <t xml:space="preserve">CA15 8RX</t>
  </si>
  <si>
    <t xml:space="preserve">228c22daae5a028b</t>
  </si>
  <si>
    <t xml:space="preserve">3832</t>
  </si>
  <si>
    <t xml:space="preserve">RED SCAR BUSINESS PARK</t>
  </si>
  <si>
    <t xml:space="preserve">HC ESS4 LTD</t>
  </si>
  <si>
    <t xml:space="preserve">BATTERY STORAGE :: BESS</t>
  </si>
  <si>
    <t xml:space="preserve">PR2 5NJ</t>
  </si>
  <si>
    <t xml:space="preserve">Red Scar Industrial Estate - EfW</t>
  </si>
  <si>
    <t xml:space="preserve">Miller Turner Group</t>
  </si>
  <si>
    <t xml:space="preserve">EfW Incineration</t>
  </si>
  <si>
    <t xml:space="preserve">PR2 5LX</t>
  </si>
  <si>
    <t xml:space="preserve">0411ee659bc5ef51</t>
  </si>
  <si>
    <t xml:space="preserve">6835</t>
  </si>
  <si>
    <t xml:space="preserve">MOSS THORN FARM, PENRITH</t>
  </si>
  <si>
    <t xml:space="preserve">ANESCO LTD</t>
  </si>
  <si>
    <t xml:space="preserve">CA11 0BY</t>
  </si>
  <si>
    <t xml:space="preserve">Moss Thorn Farm</t>
  </si>
  <si>
    <t xml:space="preserve">TGC Renewables</t>
  </si>
  <si>
    <t xml:space="preserve">ff724094141f4622</t>
  </si>
  <si>
    <t xml:space="preserve">6019</t>
  </si>
  <si>
    <t xml:space="preserve">NEWTOWN FARM</t>
  </si>
  <si>
    <t xml:space="preserve">NOVENTUM POWER LIMITED</t>
  </si>
  <si>
    <t xml:space="preserve">CA6 4ET</t>
  </si>
  <si>
    <t xml:space="preserve">Todhills and Westlinton - Harker Battery Energy Storage Facility</t>
  </si>
  <si>
    <t xml:space="preserve">Windel Energy</t>
  </si>
  <si>
    <t xml:space="preserve">CA6 6AL</t>
  </si>
  <si>
    <t xml:space="preserve">fd2079106fddd21e</t>
  </si>
  <si>
    <t xml:space="preserve">15599</t>
  </si>
  <si>
    <t xml:space="preserve">WHITEHEAD LANDFILL SITE</t>
  </si>
  <si>
    <t xml:space="preserve">VIRIDOR WASTE MANAGEMENT LIMITED</t>
  </si>
  <si>
    <t xml:space="preserve">M29 7HX</t>
  </si>
  <si>
    <t xml:space="preserve">Whitehead Landfill 2</t>
  </si>
  <si>
    <t xml:space="preserve">NPL Estates (formerly Viridor)</t>
  </si>
  <si>
    <t xml:space="preserve">cb6f17fb8b4bdb16</t>
  </si>
  <si>
    <t xml:space="preserve">796</t>
  </si>
</sst>
</file>

<file path=xl/styles.xml><?xml version="1.0" encoding="utf-8"?>
<styleSheet xmlns="http://schemas.openxmlformats.org/spreadsheetml/2006/main">
  <numFmts count="2">
    <numFmt numFmtId="164" formatCode="General"/>
    <numFmt numFmtId="165" formatCode="General"/>
  </numFmts>
  <fonts count="8">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name val="Arial"/>
      <family val="0"/>
      <charset val="1"/>
    </font>
    <font>
      <u val="single"/>
      <sz val="10"/>
      <color rgb="FF0563C1"/>
      <name val="Arial"/>
      <family val="0"/>
      <charset val="1"/>
    </font>
    <font>
      <sz val="10"/>
      <name val="Arial"/>
      <family val="2"/>
    </font>
  </fonts>
  <fills count="4">
    <fill>
      <patternFill patternType="none"/>
    </fill>
    <fill>
      <patternFill patternType="gray125"/>
    </fill>
    <fill>
      <patternFill patternType="solid">
        <fgColor rgb="FFD9E1F2"/>
        <bgColor rgb="FFCCFFFF"/>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D9E1F2"/>
          <bgColor rgb="FF000000"/>
        </patternFill>
      </fill>
    </dxf>
    <dxf>
      <fill>
        <patternFill patternType="solid">
          <bgColor rgb="FF000000"/>
        </patternFill>
      </fill>
    </dxf>
    <dxf>
      <fill>
        <patternFill patternType="solid">
          <fgColor rgb="FF0563C1"/>
          <bgColor rgb="FF000000"/>
        </patternFill>
      </fill>
    </dxf>
    <dxf>
      <fill>
        <patternFill patternType="solid">
          <fgColor rgb="FFFFFF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google.com/maps/search/?api=1&amp;query=54.95105,-2.96818" TargetMode="External"/><Relationship Id="rId3" Type="http://schemas.openxmlformats.org/officeDocument/2006/relationships/hyperlink" Target="https://www.google.com/maps/search/?api=1&amp;query=54.94517,-2.96516" TargetMode="External"/><Relationship Id="rId4" Type="http://schemas.openxmlformats.org/officeDocument/2006/relationships/hyperlink" Target="https://www.google.com/maps/search/?api=1&amp;query=53.46420,-2.64553" TargetMode="External"/><Relationship Id="rId5" Type="http://schemas.openxmlformats.org/officeDocument/2006/relationships/hyperlink" Target="https://www.google.com/maps/search/?api=1&amp;query=53.47577,-2.65706" TargetMode="External"/><Relationship Id="rId6" Type="http://schemas.openxmlformats.org/officeDocument/2006/relationships/hyperlink" Target="https://www.google.com/maps/search/?api=1&amp;query=54.87439,-3.10602" TargetMode="External"/><Relationship Id="rId7" Type="http://schemas.openxmlformats.org/officeDocument/2006/relationships/hyperlink" Target="https://www.google.com/maps/search/?api=1&amp;query=54.87149,-3.07674" TargetMode="External"/><Relationship Id="rId8" Type="http://schemas.openxmlformats.org/officeDocument/2006/relationships/hyperlink" Target="https://www.google.com/maps/search/?api=1&amp;query=53.53307,-2.37611" TargetMode="External"/><Relationship Id="rId9" Type="http://schemas.openxmlformats.org/officeDocument/2006/relationships/hyperlink" Target="https://www.google.com/maps/search/?api=1&amp;query=53.53309,-2.37603" TargetMode="External"/><Relationship Id="rId10" Type="http://schemas.openxmlformats.org/officeDocument/2006/relationships/hyperlink" Target="https://www.google.com/maps/search/?api=1&amp;query=53.70961,-2.16661" TargetMode="External"/><Relationship Id="rId11" Type="http://schemas.openxmlformats.org/officeDocument/2006/relationships/hyperlink" Target="https://www.google.com/maps/search/?api=1&amp;query=53.70422,-2.16508" TargetMode="External"/><Relationship Id="rId12" Type="http://schemas.openxmlformats.org/officeDocument/2006/relationships/hyperlink" Target="https://www.google.com/maps/search/?api=1&amp;query=54.13286,-2.54003" TargetMode="External"/><Relationship Id="rId13" Type="http://schemas.openxmlformats.org/officeDocument/2006/relationships/hyperlink" Target="https://www.google.com/maps/search/?api=1&amp;query=54.13223,-2.54467" TargetMode="External"/><Relationship Id="rId14" Type="http://schemas.openxmlformats.org/officeDocument/2006/relationships/hyperlink" Target="https://www.google.com/maps/search/?api=1&amp;query=53.51001,-2.68605" TargetMode="External"/><Relationship Id="rId15" Type="http://schemas.openxmlformats.org/officeDocument/2006/relationships/hyperlink" Target="https://www.google.com/maps/search/?api=1&amp;query=53.51079,-2.68248" TargetMode="External"/><Relationship Id="rId16" Type="http://schemas.openxmlformats.org/officeDocument/2006/relationships/hyperlink" Target="https://www.google.com/maps/search/?api=1&amp;query=53.48868,-2.32156" TargetMode="External"/><Relationship Id="rId17" Type="http://schemas.openxmlformats.org/officeDocument/2006/relationships/hyperlink" Target="https://www.google.com/maps/search/?api=1&amp;query=53.47538,-2.32327" TargetMode="External"/><Relationship Id="rId18" Type="http://schemas.openxmlformats.org/officeDocument/2006/relationships/hyperlink" Target="https://www.google.com/maps/search/?api=1&amp;query=53.49488,-2.71491" TargetMode="External"/><Relationship Id="rId19" Type="http://schemas.openxmlformats.org/officeDocument/2006/relationships/hyperlink" Target="https://www.google.com/maps/search/?api=1&amp;query=53.50623,-2.71765" TargetMode="External"/><Relationship Id="rId20" Type="http://schemas.openxmlformats.org/officeDocument/2006/relationships/hyperlink" Target="https://www.google.com/maps/search/?api=1&amp;query=53.91865,-2.79241" TargetMode="External"/><Relationship Id="rId21" Type="http://schemas.openxmlformats.org/officeDocument/2006/relationships/hyperlink" Target="https://www.google.com/maps/search/?api=1&amp;query=53.92157,-2.79996" TargetMode="External"/><Relationship Id="rId22" Type="http://schemas.openxmlformats.org/officeDocument/2006/relationships/hyperlink" Target="https://www.google.com/maps/search/?api=1&amp;query=53.72010,-2.36794" TargetMode="External"/><Relationship Id="rId23" Type="http://schemas.openxmlformats.org/officeDocument/2006/relationships/hyperlink" Target="https://www.google.com/maps/search/?api=1&amp;query=53.72287,-2.37172" TargetMode="External"/><Relationship Id="rId24" Type="http://schemas.openxmlformats.org/officeDocument/2006/relationships/hyperlink" Target="https://www.google.com/maps/search/?api=1&amp;query=53.59747,-2.12566" TargetMode="External"/><Relationship Id="rId25" Type="http://schemas.openxmlformats.org/officeDocument/2006/relationships/hyperlink" Target="https://www.google.com/maps/search/?api=1&amp;query=53.59693,-2.12430" TargetMode="External"/><Relationship Id="rId26" Type="http://schemas.openxmlformats.org/officeDocument/2006/relationships/hyperlink" Target="https://www.google.com/maps/search/?api=1&amp;query=53.28632,-1.89196" TargetMode="External"/><Relationship Id="rId27" Type="http://schemas.openxmlformats.org/officeDocument/2006/relationships/hyperlink" Target="https://www.google.com/maps/search/?api=1&amp;query=53.29570,-1.88814" TargetMode="External"/><Relationship Id="rId28" Type="http://schemas.openxmlformats.org/officeDocument/2006/relationships/hyperlink" Target="https://www.google.com/maps/search/?api=1&amp;query=54.06871,-2.78462" TargetMode="External"/><Relationship Id="rId29" Type="http://schemas.openxmlformats.org/officeDocument/2006/relationships/hyperlink" Target="https://www.google.com/maps/search/?api=1&amp;query=54.06828,-2.78690" TargetMode="External"/><Relationship Id="rId30" Type="http://schemas.openxmlformats.org/officeDocument/2006/relationships/hyperlink" Target="https://www.google.com/maps/search/?api=1&amp;query=53.59447,-2.78784" TargetMode="External"/><Relationship Id="rId31" Type="http://schemas.openxmlformats.org/officeDocument/2006/relationships/hyperlink" Target="https://www.google.com/maps/search/?api=1&amp;query=53.59879,-2.79250" TargetMode="External"/><Relationship Id="rId32" Type="http://schemas.openxmlformats.org/officeDocument/2006/relationships/hyperlink" Target="https://www.google.com/maps/search/?api=1&amp;query=53.67819,-2.12853" TargetMode="External"/><Relationship Id="rId33" Type="http://schemas.openxmlformats.org/officeDocument/2006/relationships/hyperlink" Target="https://www.google.com/maps/search/?api=1&amp;query=53.67048,-2.11477" TargetMode="External"/><Relationship Id="rId34" Type="http://schemas.openxmlformats.org/officeDocument/2006/relationships/hyperlink" Target="https://www.google.com/maps/search/?api=1&amp;query=53.90394,-3.01979" TargetMode="External"/><Relationship Id="rId35" Type="http://schemas.openxmlformats.org/officeDocument/2006/relationships/hyperlink" Target="https://www.google.com/maps/search/?api=1&amp;query=53.90315,-3.01667" TargetMode="External"/><Relationship Id="rId36" Type="http://schemas.openxmlformats.org/officeDocument/2006/relationships/hyperlink" Target="https://www.google.com/maps/search/?api=1&amp;query=54.87433,-3.10603" TargetMode="External"/><Relationship Id="rId37" Type="http://schemas.openxmlformats.org/officeDocument/2006/relationships/hyperlink" Target="https://www.google.com/maps/search/?api=1&amp;query=54.87149,-3.07674" TargetMode="External"/><Relationship Id="rId38" Type="http://schemas.openxmlformats.org/officeDocument/2006/relationships/hyperlink" Target="https://www.google.com/maps/search/?api=1&amp;query=53.53887,-2.44635" TargetMode="External"/><Relationship Id="rId39" Type="http://schemas.openxmlformats.org/officeDocument/2006/relationships/hyperlink" Target="https://www.google.com/maps/search/?api=1&amp;query=53.54134,-2.44993" TargetMode="External"/><Relationship Id="rId40" Type="http://schemas.openxmlformats.org/officeDocument/2006/relationships/hyperlink" Target="https://www.google.com/maps/search/?api=1&amp;query=53.90337,-3.02060" TargetMode="External"/><Relationship Id="rId41" Type="http://schemas.openxmlformats.org/officeDocument/2006/relationships/hyperlink" Target="https://www.google.com/maps/search/?api=1&amp;query=53.90315,-3.01667" TargetMode="External"/><Relationship Id="rId42" Type="http://schemas.openxmlformats.org/officeDocument/2006/relationships/hyperlink" Target="https://www.google.com/maps/search/?api=1&amp;query=53.36389,-2.27025" TargetMode="External"/><Relationship Id="rId43" Type="http://schemas.openxmlformats.org/officeDocument/2006/relationships/hyperlink" Target="https://www.google.com/maps/search/?api=1&amp;query=53.35765,-2.29168" TargetMode="External"/><Relationship Id="rId44" Type="http://schemas.openxmlformats.org/officeDocument/2006/relationships/hyperlink" Target="https://www.google.com/maps/search/?api=1&amp;query=53.27176,-2.11215" TargetMode="External"/><Relationship Id="rId45" Type="http://schemas.openxmlformats.org/officeDocument/2006/relationships/hyperlink" Target="https://www.google.com/maps/search/?api=1&amp;query=53.26287,-2.11751" TargetMode="External"/><Relationship Id="rId46" Type="http://schemas.openxmlformats.org/officeDocument/2006/relationships/hyperlink" Target="https://www.google.com/maps/search/?api=1&amp;query=54.09550,-3.22813" TargetMode="External"/><Relationship Id="rId47" Type="http://schemas.openxmlformats.org/officeDocument/2006/relationships/hyperlink" Target="https://www.google.com/maps/search/?api=1&amp;query=54.11113,-3.24175" TargetMode="External"/><Relationship Id="rId48" Type="http://schemas.openxmlformats.org/officeDocument/2006/relationships/hyperlink" Target="https://www.google.com/maps/search/?api=1&amp;query=54.23723,-3.13531" TargetMode="External"/><Relationship Id="rId49" Type="http://schemas.openxmlformats.org/officeDocument/2006/relationships/hyperlink" Target="https://www.google.com/maps/search/?api=1&amp;query=54.23911,-3.15288" TargetMode="External"/><Relationship Id="rId50" Type="http://schemas.openxmlformats.org/officeDocument/2006/relationships/hyperlink" Target="https://www.google.com/maps/search/?api=1&amp;query=53.54180,-2.14973" TargetMode="External"/><Relationship Id="rId51" Type="http://schemas.openxmlformats.org/officeDocument/2006/relationships/hyperlink" Target="https://www.google.com/maps/search/?api=1&amp;query=53.54182,-2.14973" TargetMode="External"/><Relationship Id="rId52" Type="http://schemas.openxmlformats.org/officeDocument/2006/relationships/hyperlink" Target="https://www.google.com/maps/search/?api=1&amp;query=53.78415,-2.34220" TargetMode="External"/><Relationship Id="rId53" Type="http://schemas.openxmlformats.org/officeDocument/2006/relationships/hyperlink" Target="https://www.google.com/maps/search/?api=1&amp;query=53.79562,-2.34427" TargetMode="External"/><Relationship Id="rId54" Type="http://schemas.openxmlformats.org/officeDocument/2006/relationships/hyperlink" Target="https://www.google.com/maps/search/?api=1&amp;query=53.78664,-2.25889" TargetMode="External"/><Relationship Id="rId55" Type="http://schemas.openxmlformats.org/officeDocument/2006/relationships/hyperlink" Target="https://www.google.com/maps/search/?api=1&amp;query=53.80134,-2.25346" TargetMode="External"/><Relationship Id="rId56" Type="http://schemas.openxmlformats.org/officeDocument/2006/relationships/hyperlink" Target="https://www.google.com/maps/search/?api=1&amp;query=53.54974,-2.58973" TargetMode="External"/><Relationship Id="rId57" Type="http://schemas.openxmlformats.org/officeDocument/2006/relationships/hyperlink" Target="https://www.google.com/maps/search/?api=1&amp;query=53.54738,-2.59006" TargetMode="External"/><Relationship Id="rId58" Type="http://schemas.openxmlformats.org/officeDocument/2006/relationships/hyperlink" Target="https://www.google.com/maps/search/?api=1&amp;query=53.60891,-2.17983" TargetMode="External"/><Relationship Id="rId59" Type="http://schemas.openxmlformats.org/officeDocument/2006/relationships/hyperlink" Target="https://www.google.com/maps/search/?api=1&amp;query=53.61912,-2.18001" TargetMode="External"/><Relationship Id="rId60" Type="http://schemas.openxmlformats.org/officeDocument/2006/relationships/hyperlink" Target="https://www.google.com/maps/search/?api=1&amp;query=53.53810,-2.10770" TargetMode="External"/><Relationship Id="rId61" Type="http://schemas.openxmlformats.org/officeDocument/2006/relationships/hyperlink" Target="https://www.google.com/maps/search/?api=1&amp;query=53.52972,-2.09227" TargetMode="External"/><Relationship Id="rId62" Type="http://schemas.openxmlformats.org/officeDocument/2006/relationships/hyperlink" Target="https://www.google.com/maps/search/?api=1&amp;query=54.01846,-2.88718" TargetMode="External"/><Relationship Id="rId63" Type="http://schemas.openxmlformats.org/officeDocument/2006/relationships/hyperlink" Target="https://www.google.com/maps/search/?api=1&amp;query=54.03601,-2.88595" TargetMode="External"/><Relationship Id="rId64" Type="http://schemas.openxmlformats.org/officeDocument/2006/relationships/hyperlink" Target="https://www.google.com/maps/search/?api=1&amp;query=54.60573,-3.52043" TargetMode="External"/><Relationship Id="rId65" Type="http://schemas.openxmlformats.org/officeDocument/2006/relationships/hyperlink" Target="https://www.google.com/maps/search/?api=1&amp;query=54.60442,-3.51090" TargetMode="External"/><Relationship Id="rId66" Type="http://schemas.openxmlformats.org/officeDocument/2006/relationships/hyperlink" Target="https://www.google.com/maps/search/?api=1&amp;query=53.43426,-2.51656" TargetMode="External"/><Relationship Id="rId67" Type="http://schemas.openxmlformats.org/officeDocument/2006/relationships/hyperlink" Target="https://www.google.com/maps/search/?api=1&amp;query=53.43763,-2.50243" TargetMode="External"/><Relationship Id="rId68" Type="http://schemas.openxmlformats.org/officeDocument/2006/relationships/hyperlink" Target="https://www.google.com/maps/search/?api=1&amp;query=54.66680,-2.77671" TargetMode="External"/><Relationship Id="rId69" Type="http://schemas.openxmlformats.org/officeDocument/2006/relationships/hyperlink" Target="https://www.google.com/maps/search/?api=1&amp;query=54.65951,-2.78029" TargetMode="External"/><Relationship Id="rId70" Type="http://schemas.openxmlformats.org/officeDocument/2006/relationships/hyperlink" Target="https://www.google.com/maps/search/?api=1&amp;query=53.76167,-2.61700" TargetMode="External"/><Relationship Id="rId71" Type="http://schemas.openxmlformats.org/officeDocument/2006/relationships/hyperlink" Target="https://www.google.com/maps/search/?api=1&amp;query=53.76167,-2.61701" TargetMode="External"/><Relationship Id="rId72" Type="http://schemas.openxmlformats.org/officeDocument/2006/relationships/hyperlink" Target="https://www.google.com/maps/search/?api=1&amp;query=54.01539,-2.88597" TargetMode="External"/><Relationship Id="rId73" Type="http://schemas.openxmlformats.org/officeDocument/2006/relationships/hyperlink" Target="https://www.google.com/maps/search/?api=1&amp;query=54.02606,-2.89234" TargetMode="External"/><Relationship Id="rId74" Type="http://schemas.openxmlformats.org/officeDocument/2006/relationships/hyperlink" Target="https://www.google.com/maps/search/?api=1&amp;query=53.81991,-2.26650" TargetMode="External"/><Relationship Id="rId75" Type="http://schemas.openxmlformats.org/officeDocument/2006/relationships/hyperlink" Target="https://www.google.com/maps/search/?api=1&amp;query=53.81725,-2.25305" TargetMode="External"/><Relationship Id="rId76" Type="http://schemas.openxmlformats.org/officeDocument/2006/relationships/hyperlink" Target="https://www.google.com/maps/search/?api=1&amp;query=53.81798,-2.97971" TargetMode="External"/><Relationship Id="rId77" Type="http://schemas.openxmlformats.org/officeDocument/2006/relationships/hyperlink" Target="https://www.google.com/maps/search/?api=1&amp;query=53.82226,-2.98387" TargetMode="External"/><Relationship Id="rId78" Type="http://schemas.openxmlformats.org/officeDocument/2006/relationships/hyperlink" Target="https://www.google.com/maps/search/?api=1&amp;query=54.77947,-3.32392" TargetMode="External"/><Relationship Id="rId79" Type="http://schemas.openxmlformats.org/officeDocument/2006/relationships/hyperlink" Target="https://www.google.com/maps/search/?api=1&amp;query=54.77804,-3.32407" TargetMode="External"/><Relationship Id="rId80" Type="http://schemas.openxmlformats.org/officeDocument/2006/relationships/hyperlink" Target="https://www.google.com/maps/search/?api=1&amp;query=53.53178,-2.76308" TargetMode="External"/><Relationship Id="rId81" Type="http://schemas.openxmlformats.org/officeDocument/2006/relationships/hyperlink" Target="https://www.google.com/maps/search/?api=1&amp;query=53.52788,-2.76552" TargetMode="External"/><Relationship Id="rId82" Type="http://schemas.openxmlformats.org/officeDocument/2006/relationships/hyperlink" Target="https://www.google.com/maps/search/?api=1&amp;query=54.14106,-3.23782" TargetMode="External"/><Relationship Id="rId83" Type="http://schemas.openxmlformats.org/officeDocument/2006/relationships/hyperlink" Target="https://www.google.com/maps/search/?api=1&amp;query=54.14204,-3.23903" TargetMode="External"/><Relationship Id="rId84" Type="http://schemas.openxmlformats.org/officeDocument/2006/relationships/hyperlink" Target="https://www.google.com/maps/search/?api=1&amp;query=53.76629,-2.97858" TargetMode="External"/><Relationship Id="rId85" Type="http://schemas.openxmlformats.org/officeDocument/2006/relationships/hyperlink" Target="https://www.google.com/maps/search/?api=1&amp;query=53.76520,-2.97498" TargetMode="External"/><Relationship Id="rId86" Type="http://schemas.openxmlformats.org/officeDocument/2006/relationships/hyperlink" Target="https://www.google.com/maps/search/?api=1&amp;query=53.52694,-2.50473" TargetMode="External"/><Relationship Id="rId87" Type="http://schemas.openxmlformats.org/officeDocument/2006/relationships/hyperlink" Target="https://www.google.com/maps/search/?api=1&amp;query=53.52680,-2.50390" TargetMode="External"/><Relationship Id="rId88" Type="http://schemas.openxmlformats.org/officeDocument/2006/relationships/hyperlink" Target="https://www.google.com/maps/search/?api=1&amp;query=53.79940,-2.33246" TargetMode="External"/><Relationship Id="rId89" Type="http://schemas.openxmlformats.org/officeDocument/2006/relationships/hyperlink" Target="https://www.google.com/maps/search/?api=1&amp;query=53.79562,-2.34427" TargetMode="External"/><Relationship Id="rId90" Type="http://schemas.openxmlformats.org/officeDocument/2006/relationships/hyperlink" Target="https://www.google.com/maps/search/?api=1&amp;query=53.76867,-2.28978" TargetMode="External"/><Relationship Id="rId91" Type="http://schemas.openxmlformats.org/officeDocument/2006/relationships/hyperlink" Target="https://www.google.com/maps/search/?api=1&amp;query=53.76322,-2.28655" TargetMode="External"/><Relationship Id="rId92" Type="http://schemas.openxmlformats.org/officeDocument/2006/relationships/hyperlink" Target="https://www.google.com/maps/search/?api=1&amp;query=53.84357,-2.97362" TargetMode="External"/><Relationship Id="rId93" Type="http://schemas.openxmlformats.org/officeDocument/2006/relationships/hyperlink" Target="https://www.google.com/maps/search/?api=1&amp;query=53.84288,-2.97493" TargetMode="External"/><Relationship Id="rId94" Type="http://schemas.openxmlformats.org/officeDocument/2006/relationships/hyperlink" Target="https://www.google.com/maps/search/?api=1&amp;query=54.05483,-2.83012" TargetMode="External"/><Relationship Id="rId95" Type="http://schemas.openxmlformats.org/officeDocument/2006/relationships/hyperlink" Target="https://www.google.com/maps/search/?api=1&amp;query=54.05556,-2.83402" TargetMode="External"/><Relationship Id="rId96" Type="http://schemas.openxmlformats.org/officeDocument/2006/relationships/hyperlink" Target="https://www.google.com/maps/search/?api=1&amp;query=53.61611,-2.69362" TargetMode="External"/><Relationship Id="rId97" Type="http://schemas.openxmlformats.org/officeDocument/2006/relationships/hyperlink" Target="https://www.google.com/maps/search/?api=1&amp;query=53.61445,-2.68839" TargetMode="External"/><Relationship Id="rId98" Type="http://schemas.openxmlformats.org/officeDocument/2006/relationships/hyperlink" Target="https://www.google.com/maps/search/?api=1&amp;query=53.53794,-2.45546" TargetMode="External"/><Relationship Id="rId99" Type="http://schemas.openxmlformats.org/officeDocument/2006/relationships/hyperlink" Target="https://www.google.com/maps/search/?api=1&amp;query=53.54134,-2.44993" TargetMode="External"/><Relationship Id="rId100" Type="http://schemas.openxmlformats.org/officeDocument/2006/relationships/hyperlink" Target="https://www.google.com/maps/search/?api=1&amp;query=54.03653,-2.87630" TargetMode="External"/><Relationship Id="rId101" Type="http://schemas.openxmlformats.org/officeDocument/2006/relationships/hyperlink" Target="https://www.google.com/maps/search/?api=1&amp;query=54.03792,-2.87190" TargetMode="External"/><Relationship Id="rId102" Type="http://schemas.openxmlformats.org/officeDocument/2006/relationships/hyperlink" Target="https://www.google.com/maps/search/?api=1&amp;query=53.41964,-2.28219" TargetMode="External"/><Relationship Id="rId103" Type="http://schemas.openxmlformats.org/officeDocument/2006/relationships/hyperlink" Target="https://www.google.com/maps/search/?api=1&amp;query=53.41964,-2.28219" TargetMode="External"/><Relationship Id="rId104" Type="http://schemas.openxmlformats.org/officeDocument/2006/relationships/hyperlink" Target="https://www.google.com/maps/search/?api=1&amp;query=54.06830,-2.76724" TargetMode="External"/><Relationship Id="rId105" Type="http://schemas.openxmlformats.org/officeDocument/2006/relationships/hyperlink" Target="https://www.google.com/maps/search/?api=1&amp;query=54.05843,-2.77750" TargetMode="External"/><Relationship Id="rId106" Type="http://schemas.openxmlformats.org/officeDocument/2006/relationships/hyperlink" Target="https://www.google.com/maps/search/?api=1&amp;query=53.38616,-2.08623" TargetMode="External"/><Relationship Id="rId107" Type="http://schemas.openxmlformats.org/officeDocument/2006/relationships/hyperlink" Target="https://www.google.com/maps/search/?api=1&amp;query=53.37977,-2.08231" TargetMode="External"/><Relationship Id="rId108" Type="http://schemas.openxmlformats.org/officeDocument/2006/relationships/hyperlink" Target="https://www.google.com/maps/search/?api=1&amp;query=53.78768,-2.26233" TargetMode="External"/><Relationship Id="rId109" Type="http://schemas.openxmlformats.org/officeDocument/2006/relationships/hyperlink" Target="https://www.google.com/maps/search/?api=1&amp;query=53.80134,-2.25346" TargetMode="External"/><Relationship Id="rId110" Type="http://schemas.openxmlformats.org/officeDocument/2006/relationships/hyperlink" Target="https://www.google.com/maps/search/?api=1&amp;query=53.75300,-2.46007" TargetMode="External"/><Relationship Id="rId111" Type="http://schemas.openxmlformats.org/officeDocument/2006/relationships/hyperlink" Target="https://www.google.com/maps/search/?api=1&amp;query=53.75395,-2.44540" TargetMode="External"/><Relationship Id="rId112" Type="http://schemas.openxmlformats.org/officeDocument/2006/relationships/hyperlink" Target="https://www.google.com/maps/search/?api=1&amp;query=54.67162,-3.54773" TargetMode="External"/><Relationship Id="rId113" Type="http://schemas.openxmlformats.org/officeDocument/2006/relationships/hyperlink" Target="https://www.google.com/maps/search/?api=1&amp;query=54.67412,-3.52309" TargetMode="External"/><Relationship Id="rId114" Type="http://schemas.openxmlformats.org/officeDocument/2006/relationships/hyperlink" Target="https://www.google.com/maps/search/?api=1&amp;query=53.78442,-2.64119" TargetMode="External"/><Relationship Id="rId115" Type="http://schemas.openxmlformats.org/officeDocument/2006/relationships/hyperlink" Target="https://www.google.com/maps/search/?api=1&amp;query=53.78170,-2.63952" TargetMode="External"/><Relationship Id="rId116" Type="http://schemas.openxmlformats.org/officeDocument/2006/relationships/hyperlink" Target="https://www.google.com/maps/search/?api=1&amp;query=54.66998,-2.82402" TargetMode="External"/><Relationship Id="rId117" Type="http://schemas.openxmlformats.org/officeDocument/2006/relationships/hyperlink" Target="https://www.google.com/maps/search/?api=1&amp;query=54.66785,-2.79833" TargetMode="External"/><Relationship Id="rId118" Type="http://schemas.openxmlformats.org/officeDocument/2006/relationships/hyperlink" Target="https://www.google.com/maps/search/?api=1&amp;query=54.95400,-2.95388" TargetMode="External"/><Relationship Id="rId119" Type="http://schemas.openxmlformats.org/officeDocument/2006/relationships/hyperlink" Target="https://www.google.com/maps/search/?api=1&amp;query=54.96552,-2.96815" TargetMode="External"/><Relationship Id="rId120" Type="http://schemas.openxmlformats.org/officeDocument/2006/relationships/hyperlink" Target="https://www.google.com/maps/search/?api=1&amp;query=53.50394,-2.43109" TargetMode="External"/><Relationship Id="rId121" Type="http://schemas.openxmlformats.org/officeDocument/2006/relationships/hyperlink" Target="https://www.google.com/maps/search/?api=1&amp;query=53.49142,-2.45027" TargetMode="External"/><Relationship Id="rId122" Type="http://schemas.openxmlformats.org/officeDocument/2006/relationships/drawing" Target="../drawings/drawing1.xml"/><Relationship Id="rId12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 collapsed="false" customWidth="true" hidden="false" outlineLevel="0" max="2" min="2" style="0" width="12"/>
  </cols>
  <sheetData>
    <row r="1" customFormat="false" ht="15" hidden="false" customHeight="false" outlineLevel="0" collapsed="false">
      <c r="A1" s="1" t="s">
        <v>0</v>
      </c>
    </row>
    <row r="2" customFormat="false" ht="23.8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2" t="s">
        <v>2</v>
      </c>
    </row>
    <row r="5" customFormat="false" ht="15" hidden="false" customHeight="false" outlineLevel="0" collapsed="false">
      <c r="A5" s="2" t="s">
        <v>3</v>
      </c>
    </row>
    <row r="6" customFormat="false" ht="15" hidden="false" customHeight="false" outlineLevel="0" collapsed="false">
      <c r="A6" s="2" t="s">
        <v>4</v>
      </c>
    </row>
    <row r="7" customFormat="false" ht="15" hidden="false" customHeight="false" outlineLevel="0" collapsed="false">
      <c r="A7" s="2" t="s">
        <v>5</v>
      </c>
    </row>
    <row r="8" customFormat="false" ht="23.85" hidden="false" customHeight="false" outlineLevel="0" collapsed="false">
      <c r="A8" s="2" t="s">
        <v>6</v>
      </c>
    </row>
    <row r="9" customFormat="false" ht="15" hidden="false" customHeight="false" outlineLevel="0" collapsed="false">
      <c r="A9" s="2"/>
    </row>
    <row r="10" customFormat="false" ht="23.85" hidden="false" customHeight="false" outlineLevel="0" collapsed="false">
      <c r="A10" s="2" t="s">
        <v>7</v>
      </c>
    </row>
    <row r="11" customFormat="false" ht="15" hidden="false" customHeight="false" outlineLevel="0" collapsed="false">
      <c r="A11" s="2"/>
    </row>
    <row r="12" customFormat="false" ht="15" hidden="false" customHeight="false" outlineLevel="0" collapsed="false">
      <c r="A12" s="3" t="s">
        <v>8</v>
      </c>
      <c r="B12" s="4" t="n">
        <f aca="false">COUNTIF(Pairs!Q2:Q61,"?*")</f>
        <v>0</v>
      </c>
    </row>
    <row r="13" customFormat="false" ht="15" hidden="false" customHeight="false" outlineLevel="0" collapsed="false">
      <c r="A13" s="3" t="s">
        <v>9</v>
      </c>
      <c r="B13" s="4" t="n">
        <v>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0"/>
    <col collapsed="false" customWidth="true" hidden="false" outlineLevel="0" max="3" min="3" style="0" width="24"/>
    <col collapsed="false" customWidth="true" hidden="false" outlineLevel="0" max="4" min="4" style="0" width="34"/>
    <col collapsed="false" customWidth="true" hidden="false" outlineLevel="0" max="5" min="5" style="0" width="9"/>
    <col collapsed="false" customWidth="true" hidden="false" outlineLevel="0" max="6" min="6" style="0" width="20"/>
    <col collapsed="false" customWidth="true" hidden="false" outlineLevel="0" max="7" min="7" style="0" width="11"/>
    <col collapsed="false" customWidth="true" hidden="false" outlineLevel="0" max="8" min="8" style="0" width="38"/>
    <col collapsed="false" customWidth="true" hidden="false" outlineLevel="0" max="9" min="9" style="0" width="24"/>
    <col collapsed="false" customWidth="true" hidden="false" outlineLevel="0" max="10" min="10" style="0" width="20"/>
    <col collapsed="false" customWidth="true" hidden="false" outlineLevel="0" max="11" min="11" style="0" width="9"/>
    <col collapsed="false" customWidth="true" hidden="false" outlineLevel="0" max="12" min="12" style="0" width="20"/>
    <col collapsed="false" customWidth="true" hidden="false" outlineLevel="0" max="14" min="13" style="0" width="11"/>
    <col collapsed="false" customWidth="true" hidden="false" outlineLevel="0" max="16" min="15" style="0" width="10"/>
    <col collapsed="false" customWidth="true" hidden="false" outlineLevel="0" max="17" min="17" style="0" width="11"/>
    <col collapsed="false" customWidth="true" hidden="false" outlineLevel="0" max="18" min="18" style="0" width="30"/>
    <col collapsed="false" customWidth="true" hidden="true" outlineLevel="0" max="25" min="19" style="0" width="13"/>
  </cols>
  <sheetData>
    <row r="1" customFormat="false" ht="35.05" hidden="false" customHeight="false" outlineLevel="0" collapsed="false">
      <c r="A1" s="5" t="s">
        <v>10</v>
      </c>
      <c r="B1" s="5" t="s">
        <v>11</v>
      </c>
      <c r="C1" s="5" t="s">
        <v>12</v>
      </c>
      <c r="D1" s="5" t="s">
        <v>13</v>
      </c>
      <c r="E1" s="5" t="s">
        <v>14</v>
      </c>
      <c r="F1" s="5" t="s">
        <v>15</v>
      </c>
      <c r="G1" s="5" t="s">
        <v>16</v>
      </c>
      <c r="H1" s="5" t="s">
        <v>17</v>
      </c>
      <c r="I1" s="5" t="s">
        <v>18</v>
      </c>
      <c r="J1" s="5" t="s">
        <v>19</v>
      </c>
      <c r="K1" s="5" t="s">
        <v>20</v>
      </c>
      <c r="L1" s="5" t="s">
        <v>21</v>
      </c>
      <c r="M1" s="5" t="s">
        <v>22</v>
      </c>
      <c r="N1" s="5" t="s">
        <v>23</v>
      </c>
      <c r="O1" s="5" t="s">
        <v>24</v>
      </c>
      <c r="P1" s="5" t="s">
        <v>25</v>
      </c>
      <c r="Q1" s="5" t="s">
        <v>26</v>
      </c>
      <c r="R1" s="5" t="s">
        <v>27</v>
      </c>
      <c r="S1" s="5" t="s">
        <v>28</v>
      </c>
      <c r="T1" s="5" t="s">
        <v>29</v>
      </c>
      <c r="U1" s="5" t="s">
        <v>30</v>
      </c>
      <c r="V1" s="5" t="s">
        <v>31</v>
      </c>
      <c r="W1" s="5" t="s">
        <v>32</v>
      </c>
      <c r="X1" s="5" t="s">
        <v>33</v>
      </c>
      <c r="Y1" s="5" t="s">
        <v>34</v>
      </c>
    </row>
    <row r="2" customFormat="false" ht="15" hidden="false" customHeight="false" outlineLevel="0" collapsed="false">
      <c r="A2" s="4" t="n">
        <v>1</v>
      </c>
      <c r="B2" s="4" t="s">
        <v>35</v>
      </c>
      <c r="C2" s="4" t="s">
        <v>36</v>
      </c>
      <c r="D2" s="4" t="s">
        <v>37</v>
      </c>
      <c r="E2" s="4" t="n">
        <v>99.4</v>
      </c>
      <c r="F2" s="4" t="s">
        <v>38</v>
      </c>
      <c r="G2" s="4" t="s">
        <v>39</v>
      </c>
      <c r="H2" s="4" t="s">
        <v>40</v>
      </c>
      <c r="I2" s="4" t="s">
        <v>41</v>
      </c>
      <c r="J2" s="4" t="s">
        <v>42</v>
      </c>
      <c r="K2" s="4" t="n">
        <v>49.9</v>
      </c>
      <c r="L2" s="4" t="s">
        <v>43</v>
      </c>
      <c r="M2" s="4" t="s">
        <v>39</v>
      </c>
      <c r="N2" s="4" t="n">
        <v>683</v>
      </c>
      <c r="O2" s="6" t="s">
        <v>44</v>
      </c>
      <c r="P2" s="6" t="s">
        <v>44</v>
      </c>
      <c r="Q2" s="7"/>
      <c r="R2" s="7"/>
      <c r="S2" s="4" t="s">
        <v>45</v>
      </c>
      <c r="T2" s="4" t="s">
        <v>46</v>
      </c>
      <c r="U2" s="4" t="s">
        <v>47</v>
      </c>
      <c r="V2" s="4" t="n">
        <v>64</v>
      </c>
      <c r="W2" s="4" t="n">
        <v>0.3</v>
      </c>
      <c r="X2" s="4" t="n">
        <v>1.99</v>
      </c>
      <c r="Y2" s="8" t="b">
        <f aca="false">TRUE()</f>
        <v>1</v>
      </c>
    </row>
    <row r="3" customFormat="false" ht="15" hidden="false" customHeight="false" outlineLevel="0" collapsed="false">
      <c r="A3" s="4" t="n">
        <v>2</v>
      </c>
      <c r="B3" s="4" t="s">
        <v>48</v>
      </c>
      <c r="C3" s="4" t="s">
        <v>49</v>
      </c>
      <c r="D3" s="4" t="s">
        <v>50</v>
      </c>
      <c r="E3" s="4" t="n">
        <v>1.03</v>
      </c>
      <c r="F3" s="4" t="s">
        <v>51</v>
      </c>
      <c r="G3" s="4" t="s">
        <v>52</v>
      </c>
      <c r="H3" s="4" t="s">
        <v>53</v>
      </c>
      <c r="I3" s="4" t="s">
        <v>54</v>
      </c>
      <c r="J3" s="4" t="s">
        <v>55</v>
      </c>
      <c r="K3" s="4" t="n">
        <v>0.21</v>
      </c>
      <c r="L3" s="4" t="s">
        <v>56</v>
      </c>
      <c r="M3" s="4" t="s">
        <v>57</v>
      </c>
      <c r="N3" s="4" t="n">
        <v>1498</v>
      </c>
      <c r="O3" s="6" t="s">
        <v>44</v>
      </c>
      <c r="P3" s="6" t="s">
        <v>44</v>
      </c>
      <c r="Q3" s="7"/>
      <c r="R3" s="7"/>
      <c r="S3" s="4" t="s">
        <v>58</v>
      </c>
      <c r="T3" s="4" t="s">
        <v>59</v>
      </c>
      <c r="U3" s="4" t="s">
        <v>60</v>
      </c>
      <c r="V3" s="4" t="n">
        <v>74</v>
      </c>
      <c r="W3" s="4" t="n">
        <v>0.571</v>
      </c>
      <c r="X3" s="4" t="n">
        <v>4.9</v>
      </c>
      <c r="Y3" s="8" t="b">
        <f aca="false">FALSE()</f>
        <v>0</v>
      </c>
    </row>
    <row r="4" customFormat="false" ht="15" hidden="false" customHeight="false" outlineLevel="0" collapsed="false">
      <c r="A4" s="4" t="n">
        <v>3</v>
      </c>
      <c r="B4" s="4" t="s">
        <v>61</v>
      </c>
      <c r="C4" s="4" t="s">
        <v>62</v>
      </c>
      <c r="D4" s="4" t="s">
        <v>63</v>
      </c>
      <c r="E4" s="4" t="n">
        <v>7</v>
      </c>
      <c r="F4" s="4" t="s">
        <v>38</v>
      </c>
      <c r="G4" s="4" t="s">
        <v>64</v>
      </c>
      <c r="H4" s="4" t="s">
        <v>65</v>
      </c>
      <c r="I4" s="4" t="s">
        <v>66</v>
      </c>
      <c r="J4" s="4" t="s">
        <v>67</v>
      </c>
      <c r="K4" s="4" t="n">
        <v>4</v>
      </c>
      <c r="L4" s="4" t="s">
        <v>68</v>
      </c>
      <c r="M4" s="4"/>
      <c r="N4" s="4" t="n">
        <v>1907</v>
      </c>
      <c r="O4" s="6" t="s">
        <v>44</v>
      </c>
      <c r="P4" s="6" t="s">
        <v>44</v>
      </c>
      <c r="Q4" s="7"/>
      <c r="R4" s="7"/>
      <c r="S4" s="4" t="s">
        <v>69</v>
      </c>
      <c r="T4" s="4" t="s">
        <v>70</v>
      </c>
      <c r="U4" s="4" t="s">
        <v>71</v>
      </c>
      <c r="V4" s="4" t="n">
        <v>139</v>
      </c>
      <c r="W4" s="4" t="n">
        <v>1</v>
      </c>
      <c r="X4" s="4" t="n">
        <v>1.75</v>
      </c>
      <c r="Y4" s="8" t="b">
        <f aca="false">TRUE()</f>
        <v>1</v>
      </c>
    </row>
    <row r="5" customFormat="false" ht="15" hidden="false" customHeight="false" outlineLevel="0" collapsed="false">
      <c r="A5" s="4" t="n">
        <v>4</v>
      </c>
      <c r="B5" s="4" t="s">
        <v>72</v>
      </c>
      <c r="C5" s="4" t="s">
        <v>73</v>
      </c>
      <c r="D5" s="4" t="s">
        <v>74</v>
      </c>
      <c r="E5" s="4" t="n">
        <v>4.08</v>
      </c>
      <c r="F5" s="4" t="s">
        <v>51</v>
      </c>
      <c r="G5" s="4" t="s">
        <v>75</v>
      </c>
      <c r="H5" s="4" t="s">
        <v>76</v>
      </c>
      <c r="I5" s="4" t="s">
        <v>77</v>
      </c>
      <c r="J5" s="4" t="s">
        <v>55</v>
      </c>
      <c r="K5" s="4" t="n">
        <v>5</v>
      </c>
      <c r="L5" s="4" t="s">
        <v>68</v>
      </c>
      <c r="M5" s="4" t="s">
        <v>75</v>
      </c>
      <c r="N5" s="4" t="n">
        <v>5</v>
      </c>
      <c r="O5" s="6" t="s">
        <v>44</v>
      </c>
      <c r="P5" s="6" t="s">
        <v>44</v>
      </c>
      <c r="Q5" s="7"/>
      <c r="R5" s="7"/>
      <c r="S5" s="4" t="s">
        <v>78</v>
      </c>
      <c r="T5" s="4" t="s">
        <v>79</v>
      </c>
      <c r="U5" s="4" t="s">
        <v>71</v>
      </c>
      <c r="V5" s="4" t="n">
        <v>139</v>
      </c>
      <c r="W5" s="4" t="n">
        <v>1</v>
      </c>
      <c r="X5" s="4" t="n">
        <v>1.23</v>
      </c>
      <c r="Y5" s="8" t="b">
        <f aca="false">TRUE()</f>
        <v>1</v>
      </c>
    </row>
    <row r="6" customFormat="false" ht="15" hidden="false" customHeight="false" outlineLevel="0" collapsed="false">
      <c r="A6" s="4" t="n">
        <v>5</v>
      </c>
      <c r="B6" s="4" t="s">
        <v>80</v>
      </c>
      <c r="C6" s="4" t="s">
        <v>81</v>
      </c>
      <c r="D6" s="4" t="s">
        <v>63</v>
      </c>
      <c r="E6" s="4" t="n">
        <v>4</v>
      </c>
      <c r="F6" s="4" t="s">
        <v>38</v>
      </c>
      <c r="G6" s="4" t="s">
        <v>82</v>
      </c>
      <c r="H6" s="4" t="s">
        <v>83</v>
      </c>
      <c r="I6" s="4" t="s">
        <v>84</v>
      </c>
      <c r="J6" s="4" t="s">
        <v>67</v>
      </c>
      <c r="K6" s="4" t="n">
        <v>3</v>
      </c>
      <c r="L6" s="4" t="s">
        <v>85</v>
      </c>
      <c r="M6" s="4"/>
      <c r="N6" s="4" t="n">
        <v>608</v>
      </c>
      <c r="O6" s="6" t="s">
        <v>44</v>
      </c>
      <c r="P6" s="6" t="s">
        <v>44</v>
      </c>
      <c r="Q6" s="7"/>
      <c r="R6" s="7"/>
      <c r="S6" s="4" t="s">
        <v>86</v>
      </c>
      <c r="T6" s="4" t="s">
        <v>87</v>
      </c>
      <c r="U6" s="4" t="s">
        <v>47</v>
      </c>
      <c r="V6" s="4" t="n">
        <v>64</v>
      </c>
      <c r="W6" s="4" t="n">
        <v>0.323</v>
      </c>
      <c r="X6" s="4" t="n">
        <v>1.33</v>
      </c>
      <c r="Y6" s="8" t="b">
        <f aca="false">TRUE()</f>
        <v>1</v>
      </c>
    </row>
    <row r="7" customFormat="false" ht="15" hidden="false" customHeight="false" outlineLevel="0" collapsed="false">
      <c r="A7" s="4" t="n">
        <v>6</v>
      </c>
      <c r="B7" s="4" t="s">
        <v>88</v>
      </c>
      <c r="C7" s="4" t="s">
        <v>89</v>
      </c>
      <c r="D7" s="4" t="s">
        <v>74</v>
      </c>
      <c r="E7" s="4" t="n">
        <v>4</v>
      </c>
      <c r="F7" s="4" t="s">
        <v>51</v>
      </c>
      <c r="G7" s="4" t="s">
        <v>90</v>
      </c>
      <c r="H7" s="4" t="s">
        <v>91</v>
      </c>
      <c r="I7" s="4" t="s">
        <v>92</v>
      </c>
      <c r="J7" s="4" t="s">
        <v>55</v>
      </c>
      <c r="K7" s="4" t="n">
        <v>3.8</v>
      </c>
      <c r="L7" s="4" t="s">
        <v>85</v>
      </c>
      <c r="M7" s="4"/>
      <c r="N7" s="4" t="n">
        <v>312</v>
      </c>
      <c r="O7" s="6" t="s">
        <v>44</v>
      </c>
      <c r="P7" s="6" t="s">
        <v>44</v>
      </c>
      <c r="Q7" s="7"/>
      <c r="R7" s="7"/>
      <c r="S7" s="4" t="s">
        <v>93</v>
      </c>
      <c r="T7" s="4" t="s">
        <v>94</v>
      </c>
      <c r="U7" s="4" t="s">
        <v>47</v>
      </c>
      <c r="V7" s="4" t="n">
        <v>64</v>
      </c>
      <c r="W7" s="4" t="n">
        <v>0.174</v>
      </c>
      <c r="X7" s="4" t="n">
        <v>1.05</v>
      </c>
      <c r="Y7" s="8" t="b">
        <f aca="false">TRUE()</f>
        <v>1</v>
      </c>
    </row>
    <row r="8" customFormat="false" ht="15" hidden="false" customHeight="false" outlineLevel="0" collapsed="false">
      <c r="A8" s="4" t="n">
        <v>7</v>
      </c>
      <c r="B8" s="4" t="s">
        <v>95</v>
      </c>
      <c r="C8" s="4" t="s">
        <v>96</v>
      </c>
      <c r="D8" s="4" t="s">
        <v>97</v>
      </c>
      <c r="E8" s="4" t="n">
        <v>70</v>
      </c>
      <c r="F8" s="4" t="s">
        <v>38</v>
      </c>
      <c r="G8" s="4" t="s">
        <v>98</v>
      </c>
      <c r="H8" s="4" t="s">
        <v>99</v>
      </c>
      <c r="I8" s="4" t="s">
        <v>100</v>
      </c>
      <c r="J8" s="4" t="s">
        <v>42</v>
      </c>
      <c r="K8" s="4" t="n">
        <v>70</v>
      </c>
      <c r="L8" s="4" t="s">
        <v>56</v>
      </c>
      <c r="M8" s="4" t="s">
        <v>101</v>
      </c>
      <c r="N8" s="4" t="n">
        <v>251</v>
      </c>
      <c r="O8" s="6" t="s">
        <v>44</v>
      </c>
      <c r="P8" s="6" t="s">
        <v>44</v>
      </c>
      <c r="Q8" s="7"/>
      <c r="R8" s="7"/>
      <c r="S8" s="4" t="s">
        <v>102</v>
      </c>
      <c r="T8" s="4" t="s">
        <v>103</v>
      </c>
      <c r="U8" s="4" t="s">
        <v>47</v>
      </c>
      <c r="V8" s="4" t="n">
        <v>64</v>
      </c>
      <c r="W8" s="4" t="n">
        <v>0.174</v>
      </c>
      <c r="X8" s="4" t="n">
        <v>1</v>
      </c>
      <c r="Y8" s="8" t="b">
        <f aca="false">TRUE()</f>
        <v>1</v>
      </c>
    </row>
    <row r="9" customFormat="false" ht="15" hidden="false" customHeight="false" outlineLevel="0" collapsed="false">
      <c r="A9" s="4" t="n">
        <v>8</v>
      </c>
      <c r="B9" s="4" t="s">
        <v>104</v>
      </c>
      <c r="C9" s="4" t="s">
        <v>105</v>
      </c>
      <c r="D9" s="4" t="s">
        <v>106</v>
      </c>
      <c r="E9" s="4" t="n">
        <v>1.812</v>
      </c>
      <c r="F9" s="4" t="s">
        <v>38</v>
      </c>
      <c r="G9" s="4" t="s">
        <v>107</v>
      </c>
      <c r="H9" s="4" t="s">
        <v>108</v>
      </c>
      <c r="I9" s="4" t="s">
        <v>109</v>
      </c>
      <c r="J9" s="4" t="s">
        <v>110</v>
      </c>
      <c r="K9" s="4" t="n">
        <v>3</v>
      </c>
      <c r="L9" s="4" t="s">
        <v>43</v>
      </c>
      <c r="M9" s="4" t="s">
        <v>111</v>
      </c>
      <c r="N9" s="4" t="n">
        <v>1484</v>
      </c>
      <c r="O9" s="6" t="s">
        <v>44</v>
      </c>
      <c r="P9" s="6" t="s">
        <v>44</v>
      </c>
      <c r="Q9" s="7"/>
      <c r="R9" s="7"/>
      <c r="S9" s="4" t="s">
        <v>112</v>
      </c>
      <c r="T9" s="4" t="s">
        <v>113</v>
      </c>
      <c r="U9" s="4" t="s">
        <v>60</v>
      </c>
      <c r="V9" s="4" t="n">
        <v>74</v>
      </c>
      <c r="W9" s="4" t="n">
        <v>0.233</v>
      </c>
      <c r="X9" s="4" t="n">
        <v>1.66</v>
      </c>
      <c r="Y9" s="8" t="b">
        <f aca="false">FALSE()</f>
        <v>0</v>
      </c>
    </row>
    <row r="10" customFormat="false" ht="15" hidden="false" customHeight="false" outlineLevel="0" collapsed="false">
      <c r="A10" s="4" t="n">
        <v>9</v>
      </c>
      <c r="B10" s="4" t="s">
        <v>114</v>
      </c>
      <c r="C10" s="4" t="s">
        <v>115</v>
      </c>
      <c r="D10" s="4" t="s">
        <v>50</v>
      </c>
      <c r="E10" s="4" t="n">
        <v>1.025</v>
      </c>
      <c r="F10" s="4" t="s">
        <v>51</v>
      </c>
      <c r="G10" s="4" t="s">
        <v>116</v>
      </c>
      <c r="H10" s="4" t="s">
        <v>117</v>
      </c>
      <c r="I10" s="4" t="s">
        <v>118</v>
      </c>
      <c r="J10" s="4" t="s">
        <v>119</v>
      </c>
      <c r="K10" s="4" t="n">
        <v>1</v>
      </c>
      <c r="L10" s="4" t="s">
        <v>68</v>
      </c>
      <c r="M10" s="4"/>
      <c r="N10" s="4" t="n">
        <v>1276</v>
      </c>
      <c r="O10" s="6" t="s">
        <v>44</v>
      </c>
      <c r="P10" s="6" t="s">
        <v>44</v>
      </c>
      <c r="Q10" s="7"/>
      <c r="R10" s="7"/>
      <c r="S10" s="4" t="s">
        <v>120</v>
      </c>
      <c r="T10" s="4" t="s">
        <v>121</v>
      </c>
      <c r="U10" s="4" t="s">
        <v>71</v>
      </c>
      <c r="V10" s="4" t="n">
        <v>139</v>
      </c>
      <c r="W10" s="4" t="n">
        <v>1</v>
      </c>
      <c r="X10" s="4" t="n">
        <v>1.02</v>
      </c>
      <c r="Y10" s="8" t="b">
        <f aca="false">TRUE()</f>
        <v>1</v>
      </c>
    </row>
    <row r="11" customFormat="false" ht="15" hidden="false" customHeight="false" outlineLevel="0" collapsed="false">
      <c r="A11" s="4" t="n">
        <v>10</v>
      </c>
      <c r="B11" s="4" t="s">
        <v>122</v>
      </c>
      <c r="C11" s="4" t="s">
        <v>123</v>
      </c>
      <c r="D11" s="4" t="s">
        <v>74</v>
      </c>
      <c r="E11" s="4" t="n">
        <v>10</v>
      </c>
      <c r="F11" s="4" t="s">
        <v>38</v>
      </c>
      <c r="G11" s="4" t="s">
        <v>124</v>
      </c>
      <c r="H11" s="4" t="s">
        <v>125</v>
      </c>
      <c r="I11" s="4" t="s">
        <v>126</v>
      </c>
      <c r="J11" s="4" t="s">
        <v>55</v>
      </c>
      <c r="K11" s="4" t="n">
        <v>10</v>
      </c>
      <c r="L11" s="4" t="s">
        <v>56</v>
      </c>
      <c r="M11" s="4" t="s">
        <v>127</v>
      </c>
      <c r="N11" s="4" t="n">
        <v>593</v>
      </c>
      <c r="O11" s="6" t="s">
        <v>44</v>
      </c>
      <c r="P11" s="6" t="s">
        <v>44</v>
      </c>
      <c r="Q11" s="7"/>
      <c r="R11" s="7"/>
      <c r="S11" s="4" t="s">
        <v>128</v>
      </c>
      <c r="T11" s="4" t="s">
        <v>129</v>
      </c>
      <c r="U11" s="4" t="s">
        <v>71</v>
      </c>
      <c r="V11" s="4" t="n">
        <v>139</v>
      </c>
      <c r="W11" s="4" t="n">
        <v>1</v>
      </c>
      <c r="X11" s="4" t="n">
        <v>1</v>
      </c>
      <c r="Y11" s="8" t="b">
        <f aca="false">TRUE()</f>
        <v>1</v>
      </c>
    </row>
    <row r="12" customFormat="false" ht="15" hidden="false" customHeight="false" outlineLevel="0" collapsed="false">
      <c r="A12" s="4" t="n">
        <v>11</v>
      </c>
      <c r="B12" s="4" t="s">
        <v>130</v>
      </c>
      <c r="C12" s="4" t="s">
        <v>131</v>
      </c>
      <c r="D12" s="4" t="s">
        <v>132</v>
      </c>
      <c r="E12" s="4" t="n">
        <v>26</v>
      </c>
      <c r="F12" s="4" t="s">
        <v>38</v>
      </c>
      <c r="G12" s="4" t="s">
        <v>133</v>
      </c>
      <c r="H12" s="4" t="s">
        <v>134</v>
      </c>
      <c r="I12" s="4" t="s">
        <v>135</v>
      </c>
      <c r="J12" s="4" t="s">
        <v>55</v>
      </c>
      <c r="K12" s="4" t="n">
        <v>26.4</v>
      </c>
      <c r="L12" s="4" t="s">
        <v>136</v>
      </c>
      <c r="M12" s="4" t="s">
        <v>137</v>
      </c>
      <c r="N12" s="4" t="n">
        <v>396</v>
      </c>
      <c r="O12" s="6" t="s">
        <v>44</v>
      </c>
      <c r="P12" s="6" t="s">
        <v>44</v>
      </c>
      <c r="Q12" s="7"/>
      <c r="R12" s="7"/>
      <c r="S12" s="4" t="s">
        <v>138</v>
      </c>
      <c r="T12" s="4" t="s">
        <v>139</v>
      </c>
      <c r="U12" s="4" t="s">
        <v>71</v>
      </c>
      <c r="V12" s="4" t="n">
        <v>139</v>
      </c>
      <c r="W12" s="4" t="n">
        <v>1</v>
      </c>
      <c r="X12" s="4" t="n">
        <v>1.02</v>
      </c>
      <c r="Y12" s="8" t="b">
        <f aca="false">TRUE()</f>
        <v>1</v>
      </c>
    </row>
    <row r="13" customFormat="false" ht="15" hidden="false" customHeight="false" outlineLevel="0" collapsed="false">
      <c r="A13" s="4" t="n">
        <v>12</v>
      </c>
      <c r="B13" s="4" t="s">
        <v>140</v>
      </c>
      <c r="C13" s="4" t="s">
        <v>141</v>
      </c>
      <c r="D13" s="4" t="s">
        <v>97</v>
      </c>
      <c r="E13" s="4" t="n">
        <v>30</v>
      </c>
      <c r="F13" s="4" t="s">
        <v>38</v>
      </c>
      <c r="G13" s="4" t="s">
        <v>142</v>
      </c>
      <c r="H13" s="4" t="s">
        <v>143</v>
      </c>
      <c r="I13" s="4" t="s">
        <v>144</v>
      </c>
      <c r="J13" s="4" t="s">
        <v>42</v>
      </c>
      <c r="K13" s="4"/>
      <c r="L13" s="4" t="s">
        <v>56</v>
      </c>
      <c r="M13" s="4" t="s">
        <v>145</v>
      </c>
      <c r="N13" s="4" t="n">
        <v>108</v>
      </c>
      <c r="O13" s="6" t="s">
        <v>44</v>
      </c>
      <c r="P13" s="6" t="s">
        <v>44</v>
      </c>
      <c r="Q13" s="7"/>
      <c r="R13" s="7"/>
      <c r="S13" s="4" t="s">
        <v>146</v>
      </c>
      <c r="T13" s="4" t="s">
        <v>147</v>
      </c>
      <c r="U13" s="4" t="s">
        <v>47</v>
      </c>
      <c r="V13" s="4" t="n">
        <v>64</v>
      </c>
      <c r="W13" s="4" t="n">
        <v>0.316</v>
      </c>
      <c r="X13" s="4" t="n">
        <v>1</v>
      </c>
      <c r="Y13" s="8" t="b">
        <f aca="false">TRUE()</f>
        <v>1</v>
      </c>
    </row>
    <row r="14" customFormat="false" ht="15" hidden="false" customHeight="false" outlineLevel="0" collapsed="false">
      <c r="A14" s="4" t="n">
        <v>13</v>
      </c>
      <c r="B14" s="4" t="s">
        <v>148</v>
      </c>
      <c r="C14" s="4" t="s">
        <v>149</v>
      </c>
      <c r="D14" s="4" t="s">
        <v>37</v>
      </c>
      <c r="E14" s="4" t="n">
        <v>20</v>
      </c>
      <c r="F14" s="4" t="s">
        <v>38</v>
      </c>
      <c r="G14" s="4" t="s">
        <v>150</v>
      </c>
      <c r="H14" s="4" t="s">
        <v>151</v>
      </c>
      <c r="I14" s="4" t="s">
        <v>152</v>
      </c>
      <c r="J14" s="4" t="s">
        <v>42</v>
      </c>
      <c r="K14" s="4"/>
      <c r="L14" s="4" t="s">
        <v>56</v>
      </c>
      <c r="M14" s="4" t="s">
        <v>153</v>
      </c>
      <c r="N14" s="4" t="n">
        <v>1074</v>
      </c>
      <c r="O14" s="6" t="s">
        <v>44</v>
      </c>
      <c r="P14" s="6" t="s">
        <v>44</v>
      </c>
      <c r="Q14" s="7"/>
      <c r="R14" s="7"/>
      <c r="S14" s="4" t="s">
        <v>154</v>
      </c>
      <c r="T14" s="4" t="s">
        <v>155</v>
      </c>
      <c r="U14" s="4" t="s">
        <v>71</v>
      </c>
      <c r="V14" s="4" t="n">
        <v>139</v>
      </c>
      <c r="W14" s="4" t="n">
        <v>1</v>
      </c>
      <c r="X14" s="4" t="n">
        <v>1</v>
      </c>
      <c r="Y14" s="8" t="b">
        <f aca="false">TRUE()</f>
        <v>1</v>
      </c>
    </row>
    <row r="15" customFormat="false" ht="15" hidden="false" customHeight="false" outlineLevel="0" collapsed="false">
      <c r="A15" s="4" t="n">
        <v>14</v>
      </c>
      <c r="B15" s="4" t="s">
        <v>156</v>
      </c>
      <c r="C15" s="4" t="s">
        <v>157</v>
      </c>
      <c r="D15" s="4" t="s">
        <v>97</v>
      </c>
      <c r="E15" s="4" t="n">
        <v>25</v>
      </c>
      <c r="F15" s="4" t="s">
        <v>38</v>
      </c>
      <c r="G15" s="4" t="s">
        <v>158</v>
      </c>
      <c r="H15" s="4" t="s">
        <v>159</v>
      </c>
      <c r="I15" s="4" t="s">
        <v>160</v>
      </c>
      <c r="J15" s="4" t="s">
        <v>42</v>
      </c>
      <c r="K15" s="4" t="n">
        <v>25</v>
      </c>
      <c r="L15" s="4" t="s">
        <v>56</v>
      </c>
      <c r="M15" s="4" t="s">
        <v>158</v>
      </c>
      <c r="N15" s="4" t="n">
        <v>157</v>
      </c>
      <c r="O15" s="6" t="s">
        <v>44</v>
      </c>
      <c r="P15" s="6" t="s">
        <v>44</v>
      </c>
      <c r="Q15" s="7"/>
      <c r="R15" s="7"/>
      <c r="S15" s="4" t="s">
        <v>161</v>
      </c>
      <c r="T15" s="4" t="s">
        <v>162</v>
      </c>
      <c r="U15" s="4" t="s">
        <v>47</v>
      </c>
      <c r="V15" s="4" t="n">
        <v>64</v>
      </c>
      <c r="W15" s="4" t="n">
        <v>0.333</v>
      </c>
      <c r="X15" s="4" t="n">
        <v>1</v>
      </c>
      <c r="Y15" s="8" t="b">
        <f aca="false">TRUE()</f>
        <v>1</v>
      </c>
    </row>
    <row r="16" customFormat="false" ht="15" hidden="false" customHeight="false" outlineLevel="0" collapsed="false">
      <c r="A16" s="4" t="n">
        <v>15</v>
      </c>
      <c r="B16" s="4" t="s">
        <v>163</v>
      </c>
      <c r="C16" s="4" t="s">
        <v>164</v>
      </c>
      <c r="D16" s="4" t="s">
        <v>74</v>
      </c>
      <c r="E16" s="4" t="n">
        <v>3.12</v>
      </c>
      <c r="F16" s="4" t="s">
        <v>51</v>
      </c>
      <c r="G16" s="4" t="s">
        <v>165</v>
      </c>
      <c r="H16" s="4" t="s">
        <v>166</v>
      </c>
      <c r="I16" s="4" t="s">
        <v>167</v>
      </c>
      <c r="J16" s="4" t="s">
        <v>55</v>
      </c>
      <c r="K16" s="4" t="n">
        <v>16</v>
      </c>
      <c r="L16" s="4" t="s">
        <v>85</v>
      </c>
      <c r="M16" s="4"/>
      <c r="N16" s="4" t="n">
        <v>571</v>
      </c>
      <c r="O16" s="6" t="s">
        <v>44</v>
      </c>
      <c r="P16" s="6" t="s">
        <v>44</v>
      </c>
      <c r="Q16" s="7"/>
      <c r="R16" s="7"/>
      <c r="S16" s="4" t="s">
        <v>168</v>
      </c>
      <c r="T16" s="4" t="s">
        <v>169</v>
      </c>
      <c r="U16" s="4" t="s">
        <v>170</v>
      </c>
      <c r="V16" s="4" t="n">
        <v>54</v>
      </c>
      <c r="W16" s="4" t="n">
        <v>0.476</v>
      </c>
      <c r="X16" s="4" t="n">
        <v>5.13</v>
      </c>
      <c r="Y16" s="8" t="b">
        <f aca="false">TRUE()</f>
        <v>1</v>
      </c>
    </row>
    <row r="17" customFormat="false" ht="15" hidden="false" customHeight="false" outlineLevel="0" collapsed="false">
      <c r="A17" s="4" t="n">
        <v>16</v>
      </c>
      <c r="B17" s="4" t="s">
        <v>171</v>
      </c>
      <c r="C17" s="4" t="s">
        <v>172</v>
      </c>
      <c r="D17" s="4" t="s">
        <v>63</v>
      </c>
      <c r="E17" s="4" t="n">
        <v>36.3</v>
      </c>
      <c r="F17" s="4" t="s">
        <v>51</v>
      </c>
      <c r="G17" s="4" t="s">
        <v>173</v>
      </c>
      <c r="H17" s="4" t="s">
        <v>174</v>
      </c>
      <c r="I17" s="4" t="s">
        <v>175</v>
      </c>
      <c r="J17" s="4" t="s">
        <v>67</v>
      </c>
      <c r="K17" s="4" t="n">
        <v>23.8</v>
      </c>
      <c r="L17" s="4" t="s">
        <v>68</v>
      </c>
      <c r="M17" s="4"/>
      <c r="N17" s="4" t="n">
        <v>1250</v>
      </c>
      <c r="O17" s="6" t="s">
        <v>44</v>
      </c>
      <c r="P17" s="6" t="s">
        <v>44</v>
      </c>
      <c r="Q17" s="7"/>
      <c r="R17" s="7"/>
      <c r="S17" s="4" t="s">
        <v>176</v>
      </c>
      <c r="T17" s="4" t="s">
        <v>177</v>
      </c>
      <c r="U17" s="4" t="s">
        <v>71</v>
      </c>
      <c r="V17" s="4" t="n">
        <v>139</v>
      </c>
      <c r="W17" s="4" t="n">
        <v>1</v>
      </c>
      <c r="X17" s="4" t="n">
        <v>1.53</v>
      </c>
      <c r="Y17" s="8" t="b">
        <f aca="false">TRUE()</f>
        <v>1</v>
      </c>
    </row>
    <row r="18" customFormat="false" ht="15" hidden="false" customHeight="false" outlineLevel="0" collapsed="false">
      <c r="A18" s="4" t="n">
        <v>17</v>
      </c>
      <c r="B18" s="4" t="s">
        <v>178</v>
      </c>
      <c r="C18" s="4" t="s">
        <v>179</v>
      </c>
      <c r="D18" s="4" t="s">
        <v>50</v>
      </c>
      <c r="E18" s="4" t="n">
        <v>2.13</v>
      </c>
      <c r="F18" s="4" t="s">
        <v>51</v>
      </c>
      <c r="G18" s="4" t="s">
        <v>180</v>
      </c>
      <c r="H18" s="4" t="s">
        <v>181</v>
      </c>
      <c r="I18" s="4" t="s">
        <v>182</v>
      </c>
      <c r="J18" s="4" t="s">
        <v>119</v>
      </c>
      <c r="K18" s="4" t="n">
        <v>4.3</v>
      </c>
      <c r="L18" s="4" t="s">
        <v>68</v>
      </c>
      <c r="M18" s="4"/>
      <c r="N18" s="4" t="n">
        <v>223</v>
      </c>
      <c r="O18" s="6" t="s">
        <v>44</v>
      </c>
      <c r="P18" s="6" t="s">
        <v>44</v>
      </c>
      <c r="Q18" s="7"/>
      <c r="R18" s="7"/>
      <c r="S18" s="4" t="s">
        <v>183</v>
      </c>
      <c r="T18" s="4" t="s">
        <v>184</v>
      </c>
      <c r="U18" s="4" t="s">
        <v>170</v>
      </c>
      <c r="V18" s="4" t="n">
        <v>54</v>
      </c>
      <c r="W18" s="4" t="n">
        <v>1</v>
      </c>
      <c r="X18" s="4" t="n">
        <v>2.02</v>
      </c>
      <c r="Y18" s="8" t="b">
        <f aca="false">TRUE()</f>
        <v>1</v>
      </c>
    </row>
    <row r="19" customFormat="false" ht="15" hidden="false" customHeight="false" outlineLevel="0" collapsed="false">
      <c r="A19" s="4" t="n">
        <v>18</v>
      </c>
      <c r="B19" s="4" t="s">
        <v>185</v>
      </c>
      <c r="C19" s="4" t="s">
        <v>62</v>
      </c>
      <c r="D19" s="4" t="s">
        <v>63</v>
      </c>
      <c r="E19" s="4" t="n">
        <v>49.9</v>
      </c>
      <c r="F19" s="4" t="s">
        <v>38</v>
      </c>
      <c r="G19" s="4" t="s">
        <v>64</v>
      </c>
      <c r="H19" s="4" t="s">
        <v>65</v>
      </c>
      <c r="I19" s="4" t="s">
        <v>66</v>
      </c>
      <c r="J19" s="4" t="s">
        <v>67</v>
      </c>
      <c r="K19" s="4" t="n">
        <v>4</v>
      </c>
      <c r="L19" s="4" t="s">
        <v>68</v>
      </c>
      <c r="M19" s="4"/>
      <c r="N19" s="4" t="n">
        <v>1906</v>
      </c>
      <c r="O19" s="6" t="s">
        <v>44</v>
      </c>
      <c r="P19" s="6" t="s">
        <v>44</v>
      </c>
      <c r="Q19" s="7"/>
      <c r="R19" s="7"/>
      <c r="S19" s="4" t="s">
        <v>186</v>
      </c>
      <c r="T19" s="4" t="s">
        <v>70</v>
      </c>
      <c r="U19" s="4" t="s">
        <v>170</v>
      </c>
      <c r="V19" s="4" t="n">
        <v>54</v>
      </c>
      <c r="W19" s="4" t="n">
        <v>1</v>
      </c>
      <c r="X19" s="4" t="n">
        <v>12.48</v>
      </c>
      <c r="Y19" s="8" t="b">
        <f aca="false">TRUE()</f>
        <v>1</v>
      </c>
    </row>
    <row r="20" customFormat="false" ht="15" hidden="false" customHeight="false" outlineLevel="0" collapsed="false">
      <c r="A20" s="4" t="n">
        <v>19</v>
      </c>
      <c r="B20" s="4" t="s">
        <v>187</v>
      </c>
      <c r="C20" s="4" t="s">
        <v>188</v>
      </c>
      <c r="D20" s="4" t="s">
        <v>74</v>
      </c>
      <c r="E20" s="4" t="n">
        <v>1.84</v>
      </c>
      <c r="F20" s="4" t="s">
        <v>51</v>
      </c>
      <c r="G20" s="4" t="s">
        <v>189</v>
      </c>
      <c r="H20" s="4" t="s">
        <v>190</v>
      </c>
      <c r="I20" s="4" t="s">
        <v>191</v>
      </c>
      <c r="J20" s="4" t="s">
        <v>55</v>
      </c>
      <c r="K20" s="4" t="n">
        <v>2.2</v>
      </c>
      <c r="L20" s="4" t="s">
        <v>68</v>
      </c>
      <c r="M20" s="4" t="s">
        <v>192</v>
      </c>
      <c r="N20" s="4" t="n">
        <v>362</v>
      </c>
      <c r="O20" s="6" t="s">
        <v>44</v>
      </c>
      <c r="P20" s="6" t="s">
        <v>44</v>
      </c>
      <c r="Q20" s="7"/>
      <c r="R20" s="7"/>
      <c r="S20" s="4" t="s">
        <v>193</v>
      </c>
      <c r="T20" s="4" t="s">
        <v>194</v>
      </c>
      <c r="U20" s="4" t="s">
        <v>47</v>
      </c>
      <c r="V20" s="4" t="n">
        <v>64</v>
      </c>
      <c r="W20" s="4" t="n">
        <v>0.286</v>
      </c>
      <c r="X20" s="4" t="n">
        <v>1.2</v>
      </c>
      <c r="Y20" s="8" t="b">
        <f aca="false">TRUE()</f>
        <v>1</v>
      </c>
    </row>
    <row r="21" customFormat="false" ht="15" hidden="false" customHeight="false" outlineLevel="0" collapsed="false">
      <c r="A21" s="4" t="n">
        <v>20</v>
      </c>
      <c r="B21" s="4" t="s">
        <v>195</v>
      </c>
      <c r="C21" s="4" t="s">
        <v>196</v>
      </c>
      <c r="D21" s="4" t="s">
        <v>50</v>
      </c>
      <c r="E21" s="4" t="n">
        <v>2.13</v>
      </c>
      <c r="F21" s="4" t="s">
        <v>51</v>
      </c>
      <c r="G21" s="4" t="s">
        <v>197</v>
      </c>
      <c r="H21" s="4" t="s">
        <v>181</v>
      </c>
      <c r="I21" s="4" t="s">
        <v>182</v>
      </c>
      <c r="J21" s="4" t="s">
        <v>119</v>
      </c>
      <c r="K21" s="4" t="n">
        <v>4.3</v>
      </c>
      <c r="L21" s="4" t="s">
        <v>68</v>
      </c>
      <c r="M21" s="4"/>
      <c r="N21" s="4" t="n">
        <v>260</v>
      </c>
      <c r="O21" s="6" t="s">
        <v>44</v>
      </c>
      <c r="P21" s="6" t="s">
        <v>44</v>
      </c>
      <c r="Q21" s="7"/>
      <c r="R21" s="7"/>
      <c r="S21" s="4" t="s">
        <v>198</v>
      </c>
      <c r="T21" s="4" t="s">
        <v>184</v>
      </c>
      <c r="U21" s="4" t="s">
        <v>170</v>
      </c>
      <c r="V21" s="4" t="n">
        <v>54</v>
      </c>
      <c r="W21" s="4" t="n">
        <v>1</v>
      </c>
      <c r="X21" s="4" t="n">
        <v>2.02</v>
      </c>
      <c r="Y21" s="8" t="b">
        <f aca="false">TRUE()</f>
        <v>1</v>
      </c>
    </row>
    <row r="22" customFormat="false" ht="15" hidden="false" customHeight="false" outlineLevel="0" collapsed="false">
      <c r="A22" s="4" t="n">
        <v>21</v>
      </c>
      <c r="B22" s="4" t="s">
        <v>199</v>
      </c>
      <c r="C22" s="4" t="s">
        <v>200</v>
      </c>
      <c r="D22" s="4" t="s">
        <v>74</v>
      </c>
      <c r="E22" s="4" t="n">
        <v>1.6</v>
      </c>
      <c r="F22" s="4" t="s">
        <v>38</v>
      </c>
      <c r="G22" s="4" t="s">
        <v>201</v>
      </c>
      <c r="H22" s="4" t="s">
        <v>202</v>
      </c>
      <c r="I22" s="4" t="s">
        <v>203</v>
      </c>
      <c r="J22" s="4" t="s">
        <v>55</v>
      </c>
      <c r="K22" s="4" t="n">
        <v>0.82</v>
      </c>
      <c r="L22" s="4" t="s">
        <v>85</v>
      </c>
      <c r="M22" s="4" t="s">
        <v>204</v>
      </c>
      <c r="N22" s="4" t="n">
        <v>1586</v>
      </c>
      <c r="O22" s="6" t="s">
        <v>44</v>
      </c>
      <c r="P22" s="6" t="s">
        <v>44</v>
      </c>
      <c r="Q22" s="7"/>
      <c r="R22" s="7"/>
      <c r="S22" s="4" t="s">
        <v>205</v>
      </c>
      <c r="T22" s="4" t="s">
        <v>206</v>
      </c>
      <c r="U22" s="4" t="s">
        <v>207</v>
      </c>
      <c r="V22" s="4" t="n">
        <v>18</v>
      </c>
      <c r="W22" s="4" t="n">
        <v>0.51</v>
      </c>
      <c r="X22" s="4" t="n">
        <v>1.95</v>
      </c>
      <c r="Y22" s="8" t="b">
        <f aca="false">TRUE()</f>
        <v>1</v>
      </c>
    </row>
    <row r="23" customFormat="false" ht="15" hidden="false" customHeight="false" outlineLevel="0" collapsed="false">
      <c r="A23" s="4" t="n">
        <v>22</v>
      </c>
      <c r="B23" s="4" t="s">
        <v>208</v>
      </c>
      <c r="C23" s="4" t="s">
        <v>209</v>
      </c>
      <c r="D23" s="4" t="s">
        <v>97</v>
      </c>
      <c r="E23" s="4" t="n">
        <v>20</v>
      </c>
      <c r="F23" s="4" t="s">
        <v>51</v>
      </c>
      <c r="G23" s="4" t="s">
        <v>210</v>
      </c>
      <c r="H23" s="4" t="s">
        <v>211</v>
      </c>
      <c r="I23" s="4" t="s">
        <v>212</v>
      </c>
      <c r="J23" s="4" t="s">
        <v>55</v>
      </c>
      <c r="K23" s="4" t="n">
        <v>0.29</v>
      </c>
      <c r="L23" s="4" t="s">
        <v>56</v>
      </c>
      <c r="M23" s="4" t="s">
        <v>213</v>
      </c>
      <c r="N23" s="4" t="n">
        <v>1052</v>
      </c>
      <c r="O23" s="6" t="s">
        <v>44</v>
      </c>
      <c r="P23" s="6" t="s">
        <v>44</v>
      </c>
      <c r="Q23" s="7"/>
      <c r="R23" s="7"/>
      <c r="S23" s="4" t="s">
        <v>214</v>
      </c>
      <c r="T23" s="4" t="s">
        <v>215</v>
      </c>
      <c r="U23" s="4" t="s">
        <v>60</v>
      </c>
      <c r="V23" s="4" t="n">
        <v>74</v>
      </c>
      <c r="W23" s="4" t="n">
        <v>0.2</v>
      </c>
      <c r="X23" s="4" t="n">
        <v>68.97</v>
      </c>
      <c r="Y23" s="8" t="b">
        <f aca="false">FALSE()</f>
        <v>0</v>
      </c>
    </row>
    <row r="24" customFormat="false" ht="15" hidden="false" customHeight="false" outlineLevel="0" collapsed="false">
      <c r="A24" s="4" t="n">
        <v>23</v>
      </c>
      <c r="B24" s="4" t="s">
        <v>216</v>
      </c>
      <c r="C24" s="4" t="s">
        <v>217</v>
      </c>
      <c r="D24" s="4" t="s">
        <v>218</v>
      </c>
      <c r="E24" s="4" t="n">
        <v>15</v>
      </c>
      <c r="F24" s="4" t="s">
        <v>38</v>
      </c>
      <c r="G24" s="4" t="s">
        <v>219</v>
      </c>
      <c r="H24" s="4" t="s">
        <v>220</v>
      </c>
      <c r="I24" s="4" t="s">
        <v>221</v>
      </c>
      <c r="J24" s="4" t="s">
        <v>55</v>
      </c>
      <c r="K24" s="4"/>
      <c r="L24" s="4" t="s">
        <v>56</v>
      </c>
      <c r="M24" s="4" t="s">
        <v>222</v>
      </c>
      <c r="N24" s="4" t="n">
        <v>1954</v>
      </c>
      <c r="O24" s="6" t="s">
        <v>44</v>
      </c>
      <c r="P24" s="6" t="s">
        <v>44</v>
      </c>
      <c r="Q24" s="7"/>
      <c r="R24" s="7"/>
      <c r="S24" s="4" t="s">
        <v>223</v>
      </c>
      <c r="T24" s="4" t="s">
        <v>224</v>
      </c>
      <c r="U24" s="4" t="s">
        <v>207</v>
      </c>
      <c r="V24" s="4" t="n">
        <v>18</v>
      </c>
      <c r="W24" s="4" t="n">
        <v>0.353</v>
      </c>
      <c r="X24" s="4" t="n">
        <v>1</v>
      </c>
      <c r="Y24" s="8" t="b">
        <f aca="false">TRUE()</f>
        <v>1</v>
      </c>
    </row>
    <row r="25" customFormat="false" ht="15" hidden="false" customHeight="false" outlineLevel="0" collapsed="false">
      <c r="A25" s="4" t="n">
        <v>24</v>
      </c>
      <c r="B25" s="4" t="s">
        <v>225</v>
      </c>
      <c r="C25" s="4" t="s">
        <v>226</v>
      </c>
      <c r="D25" s="4" t="s">
        <v>63</v>
      </c>
      <c r="E25" s="4" t="n">
        <v>4.8</v>
      </c>
      <c r="F25" s="4" t="s">
        <v>51</v>
      </c>
      <c r="G25" s="4" t="s">
        <v>227</v>
      </c>
      <c r="H25" s="4" t="s">
        <v>228</v>
      </c>
      <c r="I25" s="4" t="s">
        <v>229</v>
      </c>
      <c r="J25" s="4" t="s">
        <v>67</v>
      </c>
      <c r="K25" s="4" t="n">
        <v>18</v>
      </c>
      <c r="L25" s="4" t="s">
        <v>85</v>
      </c>
      <c r="M25" s="4" t="s">
        <v>230</v>
      </c>
      <c r="N25" s="4" t="n">
        <v>1165</v>
      </c>
      <c r="O25" s="6" t="s">
        <v>44</v>
      </c>
      <c r="P25" s="6" t="s">
        <v>44</v>
      </c>
      <c r="Q25" s="7"/>
      <c r="R25" s="7"/>
      <c r="S25" s="4" t="s">
        <v>231</v>
      </c>
      <c r="T25" s="4" t="s">
        <v>232</v>
      </c>
      <c r="U25" s="4" t="s">
        <v>170</v>
      </c>
      <c r="V25" s="4" t="n">
        <v>54</v>
      </c>
      <c r="W25" s="4" t="n">
        <v>1</v>
      </c>
      <c r="X25" s="4" t="n">
        <v>3.75</v>
      </c>
      <c r="Y25" s="8" t="b">
        <f aca="false">TRUE()</f>
        <v>1</v>
      </c>
    </row>
    <row r="26" customFormat="false" ht="15" hidden="false" customHeight="false" outlineLevel="0" collapsed="false">
      <c r="A26" s="4" t="n">
        <v>25</v>
      </c>
      <c r="B26" s="4" t="s">
        <v>233</v>
      </c>
      <c r="C26" s="4" t="s">
        <v>234</v>
      </c>
      <c r="D26" s="4" t="s">
        <v>235</v>
      </c>
      <c r="E26" s="4" t="n">
        <v>2.74</v>
      </c>
      <c r="F26" s="4" t="s">
        <v>38</v>
      </c>
      <c r="G26" s="4" t="s">
        <v>236</v>
      </c>
      <c r="H26" s="4" t="s">
        <v>237</v>
      </c>
      <c r="I26" s="4" t="s">
        <v>238</v>
      </c>
      <c r="J26" s="4" t="s">
        <v>55</v>
      </c>
      <c r="K26" s="4" t="n">
        <v>3.06</v>
      </c>
      <c r="L26" s="4" t="s">
        <v>56</v>
      </c>
      <c r="M26" s="4" t="s">
        <v>236</v>
      </c>
      <c r="N26" s="4" t="n">
        <v>2</v>
      </c>
      <c r="O26" s="6" t="s">
        <v>44</v>
      </c>
      <c r="P26" s="6" t="s">
        <v>44</v>
      </c>
      <c r="Q26" s="7"/>
      <c r="R26" s="7"/>
      <c r="S26" s="4" t="s">
        <v>239</v>
      </c>
      <c r="T26" s="4" t="s">
        <v>240</v>
      </c>
      <c r="U26" s="4" t="s">
        <v>71</v>
      </c>
      <c r="V26" s="4" t="n">
        <v>139</v>
      </c>
      <c r="W26" s="4" t="n">
        <v>1</v>
      </c>
      <c r="X26" s="4" t="n">
        <v>1.12</v>
      </c>
      <c r="Y26" s="8" t="b">
        <f aca="false">TRUE()</f>
        <v>1</v>
      </c>
    </row>
    <row r="27" customFormat="false" ht="15" hidden="false" customHeight="false" outlineLevel="0" collapsed="false">
      <c r="A27" s="4" t="n">
        <v>26</v>
      </c>
      <c r="B27" s="4" t="s">
        <v>241</v>
      </c>
      <c r="C27" s="4" t="s">
        <v>242</v>
      </c>
      <c r="D27" s="4" t="s">
        <v>37</v>
      </c>
      <c r="E27" s="4" t="n">
        <v>240</v>
      </c>
      <c r="F27" s="4" t="s">
        <v>38</v>
      </c>
      <c r="G27" s="4" t="s">
        <v>243</v>
      </c>
      <c r="H27" s="4" t="s">
        <v>244</v>
      </c>
      <c r="I27" s="4" t="s">
        <v>245</v>
      </c>
      <c r="J27" s="4" t="s">
        <v>42</v>
      </c>
      <c r="K27" s="4"/>
      <c r="L27" s="4" t="s">
        <v>246</v>
      </c>
      <c r="M27" s="4" t="s">
        <v>247</v>
      </c>
      <c r="N27" s="4" t="n">
        <v>1284</v>
      </c>
      <c r="O27" s="6" t="s">
        <v>44</v>
      </c>
      <c r="P27" s="6" t="s">
        <v>44</v>
      </c>
      <c r="Q27" s="7"/>
      <c r="R27" s="7"/>
      <c r="S27" s="4" t="s">
        <v>248</v>
      </c>
      <c r="T27" s="4" t="s">
        <v>249</v>
      </c>
      <c r="U27" s="4" t="s">
        <v>207</v>
      </c>
      <c r="V27" s="4" t="n">
        <v>18</v>
      </c>
      <c r="W27" s="4" t="n">
        <v>0.267</v>
      </c>
      <c r="X27" s="4" t="n">
        <v>1</v>
      </c>
      <c r="Y27" s="8" t="b">
        <f aca="false">TRUE()</f>
        <v>1</v>
      </c>
    </row>
    <row r="28" customFormat="false" ht="15" hidden="false" customHeight="false" outlineLevel="0" collapsed="false">
      <c r="A28" s="4" t="n">
        <v>27</v>
      </c>
      <c r="B28" s="4" t="s">
        <v>250</v>
      </c>
      <c r="C28" s="4" t="s">
        <v>251</v>
      </c>
      <c r="D28" s="4" t="s">
        <v>74</v>
      </c>
      <c r="E28" s="4" t="n">
        <v>8.42105263157895</v>
      </c>
      <c r="F28" s="4" t="s">
        <v>38</v>
      </c>
      <c r="G28" s="4" t="s">
        <v>252</v>
      </c>
      <c r="H28" s="4" t="s">
        <v>253</v>
      </c>
      <c r="I28" s="4" t="s">
        <v>254</v>
      </c>
      <c r="J28" s="4" t="s">
        <v>55</v>
      </c>
      <c r="K28" s="4"/>
      <c r="L28" s="4" t="s">
        <v>56</v>
      </c>
      <c r="M28" s="4" t="s">
        <v>255</v>
      </c>
      <c r="N28" s="4" t="n">
        <v>1674</v>
      </c>
      <c r="O28" s="6" t="s">
        <v>44</v>
      </c>
      <c r="P28" s="6" t="s">
        <v>44</v>
      </c>
      <c r="Q28" s="7"/>
      <c r="R28" s="7"/>
      <c r="S28" s="4" t="s">
        <v>256</v>
      </c>
      <c r="T28" s="4" t="s">
        <v>257</v>
      </c>
      <c r="U28" s="4" t="s">
        <v>207</v>
      </c>
      <c r="V28" s="4" t="n">
        <v>18</v>
      </c>
      <c r="W28" s="4" t="n">
        <v>0.312</v>
      </c>
      <c r="X28" s="4" t="n">
        <v>1</v>
      </c>
      <c r="Y28" s="8" t="b">
        <f aca="false">TRUE()</f>
        <v>1</v>
      </c>
    </row>
    <row r="29" customFormat="false" ht="15" hidden="false" customHeight="false" outlineLevel="0" collapsed="false">
      <c r="A29" s="4" t="n">
        <v>28</v>
      </c>
      <c r="B29" s="4" t="s">
        <v>258</v>
      </c>
      <c r="C29" s="4" t="s">
        <v>259</v>
      </c>
      <c r="D29" s="4" t="s">
        <v>50</v>
      </c>
      <c r="E29" s="4" t="n">
        <v>1.07545</v>
      </c>
      <c r="F29" s="4" t="s">
        <v>51</v>
      </c>
      <c r="G29" s="4" t="s">
        <v>260</v>
      </c>
      <c r="H29" s="4" t="s">
        <v>261</v>
      </c>
      <c r="I29" s="4" t="s">
        <v>262</v>
      </c>
      <c r="J29" s="4" t="s">
        <v>119</v>
      </c>
      <c r="K29" s="4" t="n">
        <v>2.1</v>
      </c>
      <c r="L29" s="4" t="s">
        <v>68</v>
      </c>
      <c r="M29" s="4"/>
      <c r="N29" s="4" t="n">
        <v>264</v>
      </c>
      <c r="O29" s="6" t="s">
        <v>44</v>
      </c>
      <c r="P29" s="6" t="s">
        <v>44</v>
      </c>
      <c r="Q29" s="7"/>
      <c r="R29" s="7"/>
      <c r="S29" s="4" t="s">
        <v>263</v>
      </c>
      <c r="T29" s="4" t="s">
        <v>264</v>
      </c>
      <c r="U29" s="4" t="s">
        <v>71</v>
      </c>
      <c r="V29" s="4" t="n">
        <v>139</v>
      </c>
      <c r="W29" s="4" t="n">
        <v>1</v>
      </c>
      <c r="X29" s="4" t="n">
        <v>1.95</v>
      </c>
      <c r="Y29" s="8" t="b">
        <f aca="false">TRUE()</f>
        <v>1</v>
      </c>
    </row>
    <row r="30" customFormat="false" ht="15" hidden="false" customHeight="false" outlineLevel="0" collapsed="false">
      <c r="A30" s="4" t="n">
        <v>29</v>
      </c>
      <c r="B30" s="4" t="s">
        <v>265</v>
      </c>
      <c r="C30" s="4" t="s">
        <v>164</v>
      </c>
      <c r="D30" s="4" t="s">
        <v>74</v>
      </c>
      <c r="E30" s="4" t="n">
        <v>2.1</v>
      </c>
      <c r="F30" s="4" t="s">
        <v>51</v>
      </c>
      <c r="G30" s="4" t="s">
        <v>266</v>
      </c>
      <c r="H30" s="4" t="s">
        <v>267</v>
      </c>
      <c r="I30" s="4" t="s">
        <v>268</v>
      </c>
      <c r="J30" s="4" t="s">
        <v>55</v>
      </c>
      <c r="K30" s="4" t="n">
        <v>0.15</v>
      </c>
      <c r="L30" s="4" t="s">
        <v>56</v>
      </c>
      <c r="M30" s="4" t="s">
        <v>269</v>
      </c>
      <c r="N30" s="4" t="n">
        <v>1136</v>
      </c>
      <c r="O30" s="6" t="s">
        <v>44</v>
      </c>
      <c r="P30" s="6" t="s">
        <v>44</v>
      </c>
      <c r="Q30" s="7"/>
      <c r="R30" s="7"/>
      <c r="S30" s="4" t="s">
        <v>270</v>
      </c>
      <c r="T30" s="4" t="s">
        <v>271</v>
      </c>
      <c r="U30" s="4" t="s">
        <v>170</v>
      </c>
      <c r="V30" s="4" t="n">
        <v>54</v>
      </c>
      <c r="W30" s="4" t="n">
        <v>0.286</v>
      </c>
      <c r="X30" s="4" t="n">
        <v>14</v>
      </c>
      <c r="Y30" s="8" t="b">
        <f aca="false">TRUE()</f>
        <v>1</v>
      </c>
    </row>
    <row r="31" customFormat="false" ht="15" hidden="false" customHeight="false" outlineLevel="0" collapsed="false">
      <c r="A31" s="4" t="n">
        <v>30</v>
      </c>
      <c r="B31" s="4" t="s">
        <v>272</v>
      </c>
      <c r="C31" s="4" t="s">
        <v>273</v>
      </c>
      <c r="D31" s="4" t="s">
        <v>97</v>
      </c>
      <c r="E31" s="4" t="n">
        <v>30</v>
      </c>
      <c r="F31" s="4" t="s">
        <v>38</v>
      </c>
      <c r="G31" s="4" t="s">
        <v>274</v>
      </c>
      <c r="H31" s="4" t="s">
        <v>275</v>
      </c>
      <c r="I31" s="4" t="s">
        <v>276</v>
      </c>
      <c r="J31" s="4" t="s">
        <v>42</v>
      </c>
      <c r="K31" s="4" t="n">
        <v>27</v>
      </c>
      <c r="L31" s="4" t="s">
        <v>136</v>
      </c>
      <c r="M31" s="4" t="s">
        <v>277</v>
      </c>
      <c r="N31" s="4" t="n">
        <v>1384</v>
      </c>
      <c r="O31" s="6" t="s">
        <v>44</v>
      </c>
      <c r="P31" s="6" t="s">
        <v>44</v>
      </c>
      <c r="Q31" s="7"/>
      <c r="R31" s="7"/>
      <c r="S31" s="4" t="s">
        <v>278</v>
      </c>
      <c r="T31" s="4" t="s">
        <v>279</v>
      </c>
      <c r="U31" s="4" t="s">
        <v>207</v>
      </c>
      <c r="V31" s="4" t="n">
        <v>18</v>
      </c>
      <c r="W31" s="4" t="n">
        <v>0.231</v>
      </c>
      <c r="X31" s="4" t="n">
        <v>1.11</v>
      </c>
      <c r="Y31" s="8" t="b">
        <f aca="false">TRUE()</f>
        <v>1</v>
      </c>
    </row>
    <row r="32" customFormat="false" ht="15" hidden="false" customHeight="false" outlineLevel="0" collapsed="false">
      <c r="A32" s="4" t="n">
        <v>31</v>
      </c>
      <c r="B32" s="4" t="s">
        <v>280</v>
      </c>
      <c r="C32" s="4" t="s">
        <v>281</v>
      </c>
      <c r="D32" s="4" t="s">
        <v>37</v>
      </c>
      <c r="E32" s="4" t="n">
        <v>240</v>
      </c>
      <c r="F32" s="4" t="s">
        <v>38</v>
      </c>
      <c r="G32" s="4" t="s">
        <v>282</v>
      </c>
      <c r="H32" s="4" t="s">
        <v>283</v>
      </c>
      <c r="I32" s="4" t="s">
        <v>284</v>
      </c>
      <c r="J32" s="4" t="s">
        <v>42</v>
      </c>
      <c r="K32" s="4" t="n">
        <v>200</v>
      </c>
      <c r="L32" s="4" t="s">
        <v>56</v>
      </c>
      <c r="M32" s="4" t="s">
        <v>285</v>
      </c>
      <c r="N32" s="4" t="n">
        <v>1955</v>
      </c>
      <c r="O32" s="6" t="s">
        <v>44</v>
      </c>
      <c r="P32" s="6" t="s">
        <v>44</v>
      </c>
      <c r="Q32" s="7"/>
      <c r="R32" s="7"/>
      <c r="S32" s="4" t="s">
        <v>286</v>
      </c>
      <c r="T32" s="4" t="s">
        <v>287</v>
      </c>
      <c r="U32" s="4" t="s">
        <v>207</v>
      </c>
      <c r="V32" s="4" t="n">
        <v>18</v>
      </c>
      <c r="W32" s="4" t="n">
        <v>0.333</v>
      </c>
      <c r="X32" s="4" t="n">
        <v>1.2</v>
      </c>
      <c r="Y32" s="8" t="b">
        <f aca="false">TRUE()</f>
        <v>1</v>
      </c>
    </row>
    <row r="33" customFormat="false" ht="15" hidden="false" customHeight="false" outlineLevel="0" collapsed="false">
      <c r="A33" s="4" t="n">
        <v>32</v>
      </c>
      <c r="B33" s="4" t="s">
        <v>288</v>
      </c>
      <c r="C33" s="4" t="s">
        <v>259</v>
      </c>
      <c r="D33" s="4" t="s">
        <v>50</v>
      </c>
      <c r="E33" s="4" t="n">
        <v>2.6</v>
      </c>
      <c r="F33" s="4" t="s">
        <v>51</v>
      </c>
      <c r="G33" s="4" t="s">
        <v>289</v>
      </c>
      <c r="H33" s="4" t="s">
        <v>290</v>
      </c>
      <c r="I33" s="4" t="s">
        <v>291</v>
      </c>
      <c r="J33" s="4" t="s">
        <v>119</v>
      </c>
      <c r="K33" s="4" t="n">
        <v>1.8</v>
      </c>
      <c r="L33" s="4" t="s">
        <v>68</v>
      </c>
      <c r="M33" s="4"/>
      <c r="N33" s="4" t="n">
        <v>632</v>
      </c>
      <c r="O33" s="6" t="s">
        <v>44</v>
      </c>
      <c r="P33" s="6" t="s">
        <v>44</v>
      </c>
      <c r="Q33" s="7"/>
      <c r="R33" s="7"/>
      <c r="S33" s="4" t="s">
        <v>292</v>
      </c>
      <c r="T33" s="4" t="s">
        <v>293</v>
      </c>
      <c r="U33" s="4" t="s">
        <v>71</v>
      </c>
      <c r="V33" s="4" t="n">
        <v>139</v>
      </c>
      <c r="W33" s="4" t="n">
        <v>1</v>
      </c>
      <c r="X33" s="4" t="n">
        <v>1.44</v>
      </c>
      <c r="Y33" s="8" t="b">
        <f aca="false">TRUE()</f>
        <v>1</v>
      </c>
    </row>
    <row r="34" customFormat="false" ht="15" hidden="false" customHeight="false" outlineLevel="0" collapsed="false">
      <c r="A34" s="4" t="n">
        <v>33</v>
      </c>
      <c r="B34" s="4" t="s">
        <v>294</v>
      </c>
      <c r="C34" s="4" t="s">
        <v>295</v>
      </c>
      <c r="D34" s="4" t="s">
        <v>50</v>
      </c>
      <c r="E34" s="4" t="n">
        <v>2</v>
      </c>
      <c r="F34" s="4" t="s">
        <v>51</v>
      </c>
      <c r="G34" s="4" t="s">
        <v>296</v>
      </c>
      <c r="H34" s="4" t="s">
        <v>297</v>
      </c>
      <c r="I34" s="4" t="s">
        <v>298</v>
      </c>
      <c r="J34" s="4" t="s">
        <v>119</v>
      </c>
      <c r="K34" s="4" t="n">
        <v>2</v>
      </c>
      <c r="L34" s="4" t="s">
        <v>68</v>
      </c>
      <c r="M34" s="4"/>
      <c r="N34" s="4" t="n">
        <v>1011</v>
      </c>
      <c r="O34" s="6" t="s">
        <v>44</v>
      </c>
      <c r="P34" s="6" t="s">
        <v>44</v>
      </c>
      <c r="Q34" s="7"/>
      <c r="R34" s="7"/>
      <c r="S34" s="4" t="s">
        <v>299</v>
      </c>
      <c r="T34" s="4" t="s">
        <v>300</v>
      </c>
      <c r="U34" s="4" t="s">
        <v>207</v>
      </c>
      <c r="V34" s="4" t="n">
        <v>18</v>
      </c>
      <c r="W34" s="4" t="n">
        <v>0.5</v>
      </c>
      <c r="X34" s="4" t="n">
        <v>1</v>
      </c>
      <c r="Y34" s="8" t="b">
        <f aca="false">TRUE()</f>
        <v>1</v>
      </c>
    </row>
    <row r="35" customFormat="false" ht="15" hidden="false" customHeight="false" outlineLevel="0" collapsed="false">
      <c r="A35" s="4" t="n">
        <v>34</v>
      </c>
      <c r="B35" s="4" t="s">
        <v>301</v>
      </c>
      <c r="C35" s="4" t="s">
        <v>302</v>
      </c>
      <c r="D35" s="4" t="s">
        <v>303</v>
      </c>
      <c r="E35" s="4" t="n">
        <v>6</v>
      </c>
      <c r="F35" s="4" t="s">
        <v>38</v>
      </c>
      <c r="G35" s="4" t="s">
        <v>304</v>
      </c>
      <c r="H35" s="4" t="s">
        <v>305</v>
      </c>
      <c r="I35" s="4" t="s">
        <v>306</v>
      </c>
      <c r="J35" s="4" t="s">
        <v>42</v>
      </c>
      <c r="K35" s="4"/>
      <c r="L35" s="4" t="s">
        <v>56</v>
      </c>
      <c r="M35" s="4" t="s">
        <v>307</v>
      </c>
      <c r="N35" s="4" t="n">
        <v>844</v>
      </c>
      <c r="O35" s="6" t="s">
        <v>44</v>
      </c>
      <c r="P35" s="6" t="s">
        <v>44</v>
      </c>
      <c r="Q35" s="7"/>
      <c r="R35" s="7"/>
      <c r="S35" s="4" t="s">
        <v>308</v>
      </c>
      <c r="T35" s="4" t="s">
        <v>309</v>
      </c>
      <c r="U35" s="4" t="s">
        <v>47</v>
      </c>
      <c r="V35" s="4" t="n">
        <v>64</v>
      </c>
      <c r="W35" s="4" t="n">
        <v>0.364</v>
      </c>
      <c r="X35" s="4" t="n">
        <v>1</v>
      </c>
      <c r="Y35" s="8" t="b">
        <f aca="false">TRUE()</f>
        <v>1</v>
      </c>
    </row>
    <row r="36" customFormat="false" ht="15" hidden="false" customHeight="false" outlineLevel="0" collapsed="false">
      <c r="A36" s="4" t="n">
        <v>35</v>
      </c>
      <c r="B36" s="4" t="s">
        <v>310</v>
      </c>
      <c r="C36" s="4" t="s">
        <v>311</v>
      </c>
      <c r="D36" s="4" t="s">
        <v>74</v>
      </c>
      <c r="E36" s="4" t="n">
        <v>3.8</v>
      </c>
      <c r="F36" s="4" t="s">
        <v>38</v>
      </c>
      <c r="G36" s="4" t="s">
        <v>312</v>
      </c>
      <c r="H36" s="4" t="s">
        <v>313</v>
      </c>
      <c r="I36" s="4" t="s">
        <v>314</v>
      </c>
      <c r="J36" s="4" t="s">
        <v>55</v>
      </c>
      <c r="K36" s="4" t="n">
        <v>2.2</v>
      </c>
      <c r="L36" s="4" t="s">
        <v>43</v>
      </c>
      <c r="M36" s="4" t="s">
        <v>312</v>
      </c>
      <c r="N36" s="4" t="n">
        <v>1</v>
      </c>
      <c r="O36" s="6" t="s">
        <v>44</v>
      </c>
      <c r="P36" s="6" t="s">
        <v>44</v>
      </c>
      <c r="Q36" s="7"/>
      <c r="R36" s="7"/>
      <c r="S36" s="4" t="s">
        <v>315</v>
      </c>
      <c r="T36" s="4" t="s">
        <v>316</v>
      </c>
      <c r="U36" s="4" t="s">
        <v>47</v>
      </c>
      <c r="V36" s="4" t="n">
        <v>64</v>
      </c>
      <c r="W36" s="4" t="n">
        <v>0.231</v>
      </c>
      <c r="X36" s="4" t="n">
        <v>1.73</v>
      </c>
      <c r="Y36" s="8" t="b">
        <f aca="false">TRUE()</f>
        <v>1</v>
      </c>
    </row>
    <row r="37" customFormat="false" ht="15" hidden="false" customHeight="false" outlineLevel="0" collapsed="false">
      <c r="A37" s="4" t="n">
        <v>36</v>
      </c>
      <c r="B37" s="4" t="s">
        <v>317</v>
      </c>
      <c r="C37" s="4" t="s">
        <v>281</v>
      </c>
      <c r="D37" s="4" t="s">
        <v>318</v>
      </c>
      <c r="E37" s="4" t="n">
        <v>240</v>
      </c>
      <c r="F37" s="4" t="s">
        <v>38</v>
      </c>
      <c r="G37" s="4" t="s">
        <v>282</v>
      </c>
      <c r="H37" s="4" t="s">
        <v>319</v>
      </c>
      <c r="I37" s="4" t="s">
        <v>320</v>
      </c>
      <c r="J37" s="4" t="s">
        <v>42</v>
      </c>
      <c r="K37" s="4" t="n">
        <v>50</v>
      </c>
      <c r="L37" s="4" t="s">
        <v>56</v>
      </c>
      <c r="M37" s="4" t="s">
        <v>321</v>
      </c>
      <c r="N37" s="4" t="n">
        <v>1259</v>
      </c>
      <c r="O37" s="6" t="s">
        <v>44</v>
      </c>
      <c r="P37" s="6" t="s">
        <v>44</v>
      </c>
      <c r="Q37" s="7"/>
      <c r="R37" s="7"/>
      <c r="S37" s="4" t="s">
        <v>322</v>
      </c>
      <c r="T37" s="4" t="s">
        <v>323</v>
      </c>
      <c r="U37" s="4" t="s">
        <v>170</v>
      </c>
      <c r="V37" s="4" t="n">
        <v>54</v>
      </c>
      <c r="W37" s="4" t="n">
        <v>0.333</v>
      </c>
      <c r="X37" s="4" t="n">
        <v>4.8</v>
      </c>
      <c r="Y37" s="8" t="b">
        <f aca="false">TRUE()</f>
        <v>1</v>
      </c>
    </row>
    <row r="38" customFormat="false" ht="15" hidden="false" customHeight="false" outlineLevel="0" collapsed="false">
      <c r="A38" s="4" t="n">
        <v>37</v>
      </c>
      <c r="B38" s="4" t="s">
        <v>324</v>
      </c>
      <c r="C38" s="4" t="s">
        <v>325</v>
      </c>
      <c r="D38" s="4" t="s">
        <v>97</v>
      </c>
      <c r="E38" s="4" t="n">
        <v>50</v>
      </c>
      <c r="F38" s="4" t="s">
        <v>38</v>
      </c>
      <c r="G38" s="4" t="s">
        <v>326</v>
      </c>
      <c r="H38" s="4" t="s">
        <v>327</v>
      </c>
      <c r="I38" s="4" t="s">
        <v>328</v>
      </c>
      <c r="J38" s="4" t="s">
        <v>42</v>
      </c>
      <c r="K38" s="4" t="n">
        <v>100</v>
      </c>
      <c r="L38" s="4" t="s">
        <v>56</v>
      </c>
      <c r="M38" s="4" t="s">
        <v>329</v>
      </c>
      <c r="N38" s="4" t="n">
        <v>933</v>
      </c>
      <c r="O38" s="6" t="s">
        <v>44</v>
      </c>
      <c r="P38" s="6" t="s">
        <v>44</v>
      </c>
      <c r="Q38" s="7"/>
      <c r="R38" s="7"/>
      <c r="S38" s="4" t="s">
        <v>330</v>
      </c>
      <c r="T38" s="4" t="s">
        <v>331</v>
      </c>
      <c r="U38" s="4" t="s">
        <v>47</v>
      </c>
      <c r="V38" s="4" t="n">
        <v>64</v>
      </c>
      <c r="W38" s="4" t="n">
        <v>0.267</v>
      </c>
      <c r="X38" s="4" t="n">
        <v>2</v>
      </c>
      <c r="Y38" s="8" t="b">
        <f aca="false">TRUE()</f>
        <v>1</v>
      </c>
    </row>
    <row r="39" customFormat="false" ht="15" hidden="false" customHeight="false" outlineLevel="0" collapsed="false">
      <c r="A39" s="4" t="n">
        <v>38</v>
      </c>
      <c r="B39" s="4" t="s">
        <v>332</v>
      </c>
      <c r="C39" s="4" t="s">
        <v>333</v>
      </c>
      <c r="D39" s="4" t="s">
        <v>334</v>
      </c>
      <c r="E39" s="4" t="n">
        <v>40</v>
      </c>
      <c r="F39" s="4" t="s">
        <v>38</v>
      </c>
      <c r="G39" s="4" t="s">
        <v>335</v>
      </c>
      <c r="H39" s="4" t="s">
        <v>336</v>
      </c>
      <c r="I39" s="4" t="s">
        <v>337</v>
      </c>
      <c r="J39" s="4" t="s">
        <v>55</v>
      </c>
      <c r="K39" s="4" t="n">
        <v>40</v>
      </c>
      <c r="L39" s="4" t="s">
        <v>136</v>
      </c>
      <c r="M39" s="4" t="s">
        <v>338</v>
      </c>
      <c r="N39" s="4" t="n">
        <v>549</v>
      </c>
      <c r="O39" s="6" t="s">
        <v>44</v>
      </c>
      <c r="P39" s="6" t="s">
        <v>44</v>
      </c>
      <c r="Q39" s="7"/>
      <c r="R39" s="7"/>
      <c r="S39" s="4" t="s">
        <v>339</v>
      </c>
      <c r="T39" s="4" t="s">
        <v>340</v>
      </c>
      <c r="U39" s="4" t="s">
        <v>47</v>
      </c>
      <c r="V39" s="4" t="n">
        <v>64</v>
      </c>
      <c r="W39" s="4" t="n">
        <v>0.158</v>
      </c>
      <c r="X39" s="4" t="n">
        <v>1</v>
      </c>
      <c r="Y39" s="8" t="b">
        <f aca="false">TRUE()</f>
        <v>1</v>
      </c>
    </row>
    <row r="40" customFormat="false" ht="15" hidden="false" customHeight="false" outlineLevel="0" collapsed="false">
      <c r="A40" s="4" t="n">
        <v>39</v>
      </c>
      <c r="B40" s="4" t="s">
        <v>341</v>
      </c>
      <c r="C40" s="4" t="s">
        <v>342</v>
      </c>
      <c r="D40" s="4" t="s">
        <v>74</v>
      </c>
      <c r="E40" s="4" t="n">
        <v>15</v>
      </c>
      <c r="F40" s="4" t="s">
        <v>51</v>
      </c>
      <c r="G40" s="4" t="s">
        <v>343</v>
      </c>
      <c r="H40" s="4" t="s">
        <v>344</v>
      </c>
      <c r="I40" s="4" t="s">
        <v>345</v>
      </c>
      <c r="J40" s="4" t="s">
        <v>55</v>
      </c>
      <c r="K40" s="4" t="n">
        <v>19</v>
      </c>
      <c r="L40" s="4" t="s">
        <v>68</v>
      </c>
      <c r="M40" s="4" t="s">
        <v>343</v>
      </c>
      <c r="N40" s="4" t="n">
        <v>160</v>
      </c>
      <c r="O40" s="6" t="s">
        <v>44</v>
      </c>
      <c r="P40" s="6" t="s">
        <v>44</v>
      </c>
      <c r="Q40" s="7"/>
      <c r="R40" s="7"/>
      <c r="S40" s="4" t="s">
        <v>346</v>
      </c>
      <c r="T40" s="4" t="s">
        <v>347</v>
      </c>
      <c r="U40" s="4" t="s">
        <v>47</v>
      </c>
      <c r="V40" s="4" t="n">
        <v>64</v>
      </c>
      <c r="W40" s="4" t="n">
        <v>0.533</v>
      </c>
      <c r="X40" s="4" t="n">
        <v>1.27</v>
      </c>
      <c r="Y40" s="8" t="b">
        <f aca="false">TRUE()</f>
        <v>1</v>
      </c>
    </row>
    <row r="41" customFormat="false" ht="15" hidden="false" customHeight="false" outlineLevel="0" collapsed="false">
      <c r="A41" s="4" t="n">
        <v>40</v>
      </c>
      <c r="B41" s="4" t="s">
        <v>348</v>
      </c>
      <c r="C41" s="4" t="s">
        <v>349</v>
      </c>
      <c r="D41" s="4" t="s">
        <v>350</v>
      </c>
      <c r="E41" s="4" t="n">
        <v>2.48</v>
      </c>
      <c r="F41" s="4" t="s">
        <v>38</v>
      </c>
      <c r="G41" s="4" t="s">
        <v>351</v>
      </c>
      <c r="H41" s="4" t="s">
        <v>352</v>
      </c>
      <c r="I41" s="4" t="s">
        <v>353</v>
      </c>
      <c r="J41" s="4" t="s">
        <v>67</v>
      </c>
      <c r="K41" s="4" t="n">
        <v>2.5</v>
      </c>
      <c r="L41" s="4" t="s">
        <v>56</v>
      </c>
      <c r="M41" s="4" t="s">
        <v>354</v>
      </c>
      <c r="N41" s="4" t="n">
        <v>463</v>
      </c>
      <c r="O41" s="6" t="s">
        <v>44</v>
      </c>
      <c r="P41" s="6" t="s">
        <v>44</v>
      </c>
      <c r="Q41" s="7"/>
      <c r="R41" s="7"/>
      <c r="S41" s="4" t="s">
        <v>355</v>
      </c>
      <c r="T41" s="4" t="s">
        <v>356</v>
      </c>
      <c r="U41" s="4" t="s">
        <v>60</v>
      </c>
      <c r="V41" s="4" t="n">
        <v>74</v>
      </c>
      <c r="W41" s="4" t="n">
        <v>0.312</v>
      </c>
      <c r="X41" s="4" t="n">
        <v>1.01</v>
      </c>
      <c r="Y41" s="8" t="b">
        <f aca="false">FALSE()</f>
        <v>0</v>
      </c>
    </row>
    <row r="42" customFormat="false" ht="15" hidden="false" customHeight="false" outlineLevel="0" collapsed="false">
      <c r="A42" s="4" t="n">
        <v>41</v>
      </c>
      <c r="B42" s="4" t="s">
        <v>357</v>
      </c>
      <c r="C42" s="4" t="s">
        <v>358</v>
      </c>
      <c r="D42" s="4" t="s">
        <v>132</v>
      </c>
      <c r="E42" s="4" t="n">
        <v>12.5</v>
      </c>
      <c r="F42" s="4" t="s">
        <v>38</v>
      </c>
      <c r="G42" s="4" t="s">
        <v>359</v>
      </c>
      <c r="H42" s="4" t="s">
        <v>360</v>
      </c>
      <c r="I42" s="4" t="s">
        <v>361</v>
      </c>
      <c r="J42" s="4" t="s">
        <v>55</v>
      </c>
      <c r="K42" s="4" t="n">
        <v>4.2</v>
      </c>
      <c r="L42" s="4" t="s">
        <v>246</v>
      </c>
      <c r="M42" s="4" t="s">
        <v>359</v>
      </c>
      <c r="N42" s="4" t="n">
        <v>134</v>
      </c>
      <c r="O42" s="6" t="s">
        <v>44</v>
      </c>
      <c r="P42" s="6" t="s">
        <v>44</v>
      </c>
      <c r="Q42" s="7"/>
      <c r="R42" s="7"/>
      <c r="S42" s="4" t="s">
        <v>362</v>
      </c>
      <c r="T42" s="4" t="s">
        <v>363</v>
      </c>
      <c r="U42" s="4" t="s">
        <v>170</v>
      </c>
      <c r="V42" s="4" t="n">
        <v>54</v>
      </c>
      <c r="W42" s="4" t="n">
        <v>1</v>
      </c>
      <c r="X42" s="4" t="n">
        <v>2.98</v>
      </c>
      <c r="Y42" s="8" t="b">
        <f aca="false">TRUE()</f>
        <v>1</v>
      </c>
    </row>
    <row r="43" customFormat="false" ht="15" hidden="false" customHeight="false" outlineLevel="0" collapsed="false">
      <c r="A43" s="4" t="n">
        <v>42</v>
      </c>
      <c r="B43" s="4" t="s">
        <v>364</v>
      </c>
      <c r="C43" s="4" t="s">
        <v>365</v>
      </c>
      <c r="D43" s="4" t="s">
        <v>97</v>
      </c>
      <c r="E43" s="4" t="n">
        <v>30</v>
      </c>
      <c r="F43" s="4" t="s">
        <v>38</v>
      </c>
      <c r="G43" s="4" t="s">
        <v>366</v>
      </c>
      <c r="H43" s="4" t="s">
        <v>367</v>
      </c>
      <c r="I43" s="4" t="s">
        <v>368</v>
      </c>
      <c r="J43" s="4" t="s">
        <v>42</v>
      </c>
      <c r="K43" s="4" t="n">
        <v>30</v>
      </c>
      <c r="L43" s="4" t="s">
        <v>56</v>
      </c>
      <c r="M43" s="4" t="s">
        <v>366</v>
      </c>
      <c r="N43" s="4" t="n">
        <v>267</v>
      </c>
      <c r="O43" s="6" t="s">
        <v>44</v>
      </c>
      <c r="P43" s="6" t="s">
        <v>44</v>
      </c>
      <c r="Q43" s="7"/>
      <c r="R43" s="7"/>
      <c r="S43" s="4" t="s">
        <v>369</v>
      </c>
      <c r="T43" s="4" t="s">
        <v>370</v>
      </c>
      <c r="U43" s="4" t="s">
        <v>47</v>
      </c>
      <c r="V43" s="4" t="n">
        <v>64</v>
      </c>
      <c r="W43" s="4" t="n">
        <v>0.261</v>
      </c>
      <c r="X43" s="4" t="n">
        <v>1</v>
      </c>
      <c r="Y43" s="8" t="b">
        <f aca="false">TRUE()</f>
        <v>1</v>
      </c>
    </row>
    <row r="44" customFormat="false" ht="15" hidden="false" customHeight="false" outlineLevel="0" collapsed="false">
      <c r="A44" s="4" t="n">
        <v>43</v>
      </c>
      <c r="B44" s="4" t="s">
        <v>371</v>
      </c>
      <c r="C44" s="4" t="s">
        <v>372</v>
      </c>
      <c r="D44" s="4" t="s">
        <v>97</v>
      </c>
      <c r="E44" s="4" t="n">
        <v>30</v>
      </c>
      <c r="F44" s="4" t="s">
        <v>51</v>
      </c>
      <c r="G44" s="4" t="s">
        <v>373</v>
      </c>
      <c r="H44" s="4" t="s">
        <v>374</v>
      </c>
      <c r="I44" s="4" t="s">
        <v>375</v>
      </c>
      <c r="J44" s="4" t="s">
        <v>42</v>
      </c>
      <c r="K44" s="4" t="n">
        <v>30</v>
      </c>
      <c r="L44" s="4" t="s">
        <v>68</v>
      </c>
      <c r="M44" s="4" t="s">
        <v>376</v>
      </c>
      <c r="N44" s="4" t="n">
        <v>57</v>
      </c>
      <c r="O44" s="6" t="s">
        <v>44</v>
      </c>
      <c r="P44" s="6" t="s">
        <v>44</v>
      </c>
      <c r="Q44" s="7"/>
      <c r="R44" s="7"/>
      <c r="S44" s="4" t="s">
        <v>377</v>
      </c>
      <c r="T44" s="4" t="s">
        <v>378</v>
      </c>
      <c r="U44" s="4" t="s">
        <v>47</v>
      </c>
      <c r="V44" s="4" t="n">
        <v>64</v>
      </c>
      <c r="W44" s="4" t="n">
        <v>0.25</v>
      </c>
      <c r="X44" s="4" t="n">
        <v>1</v>
      </c>
      <c r="Y44" s="8" t="b">
        <f aca="false">TRUE()</f>
        <v>1</v>
      </c>
    </row>
    <row r="45" customFormat="false" ht="15" hidden="false" customHeight="false" outlineLevel="0" collapsed="false">
      <c r="A45" s="4" t="n">
        <v>44</v>
      </c>
      <c r="B45" s="4" t="s">
        <v>379</v>
      </c>
      <c r="C45" s="4" t="s">
        <v>380</v>
      </c>
      <c r="D45" s="4" t="s">
        <v>97</v>
      </c>
      <c r="E45" s="4" t="n">
        <v>99.9</v>
      </c>
      <c r="F45" s="4" t="s">
        <v>38</v>
      </c>
      <c r="G45" s="4" t="s">
        <v>381</v>
      </c>
      <c r="H45" s="4" t="s">
        <v>244</v>
      </c>
      <c r="I45" s="4" t="s">
        <v>245</v>
      </c>
      <c r="J45" s="4" t="s">
        <v>42</v>
      </c>
      <c r="K45" s="4"/>
      <c r="L45" s="4" t="s">
        <v>246</v>
      </c>
      <c r="M45" s="4" t="s">
        <v>247</v>
      </c>
      <c r="N45" s="4" t="n">
        <v>884</v>
      </c>
      <c r="O45" s="6" t="s">
        <v>44</v>
      </c>
      <c r="P45" s="6" t="s">
        <v>44</v>
      </c>
      <c r="Q45" s="7"/>
      <c r="R45" s="7"/>
      <c r="S45" s="4" t="s">
        <v>382</v>
      </c>
      <c r="T45" s="4" t="s">
        <v>249</v>
      </c>
      <c r="U45" s="4" t="s">
        <v>47</v>
      </c>
      <c r="V45" s="4" t="n">
        <v>64</v>
      </c>
      <c r="W45" s="4" t="n">
        <v>0.375</v>
      </c>
      <c r="X45" s="4" t="n">
        <v>1</v>
      </c>
      <c r="Y45" s="8" t="b">
        <f aca="false">TRUE()</f>
        <v>1</v>
      </c>
    </row>
    <row r="46" customFormat="false" ht="15" hidden="false" customHeight="false" outlineLevel="0" collapsed="false">
      <c r="A46" s="4" t="n">
        <v>45</v>
      </c>
      <c r="B46" s="4" t="s">
        <v>383</v>
      </c>
      <c r="C46" s="4" t="s">
        <v>384</v>
      </c>
      <c r="D46" s="4" t="s">
        <v>63</v>
      </c>
      <c r="E46" s="4" t="n">
        <v>4.5</v>
      </c>
      <c r="F46" s="4" t="s">
        <v>51</v>
      </c>
      <c r="G46" s="4" t="s">
        <v>385</v>
      </c>
      <c r="H46" s="4" t="s">
        <v>386</v>
      </c>
      <c r="I46" s="4" t="s">
        <v>387</v>
      </c>
      <c r="J46" s="4" t="s">
        <v>67</v>
      </c>
      <c r="K46" s="4" t="n">
        <v>7.1</v>
      </c>
      <c r="L46" s="4" t="s">
        <v>246</v>
      </c>
      <c r="M46" s="4" t="s">
        <v>385</v>
      </c>
      <c r="N46" s="4" t="n">
        <v>642</v>
      </c>
      <c r="O46" s="6" t="s">
        <v>44</v>
      </c>
      <c r="P46" s="6" t="s">
        <v>44</v>
      </c>
      <c r="Q46" s="7"/>
      <c r="R46" s="7"/>
      <c r="S46" s="4" t="s">
        <v>388</v>
      </c>
      <c r="T46" s="4" t="s">
        <v>389</v>
      </c>
      <c r="U46" s="4" t="s">
        <v>71</v>
      </c>
      <c r="V46" s="4" t="n">
        <v>139</v>
      </c>
      <c r="W46" s="4" t="n">
        <v>1</v>
      </c>
      <c r="X46" s="4" t="n">
        <v>1.58</v>
      </c>
      <c r="Y46" s="8" t="b">
        <f aca="false">TRUE()</f>
        <v>1</v>
      </c>
    </row>
    <row r="47" customFormat="false" ht="15" hidden="false" customHeight="false" outlineLevel="0" collapsed="false">
      <c r="A47" s="4" t="n">
        <v>46</v>
      </c>
      <c r="B47" s="4" t="s">
        <v>390</v>
      </c>
      <c r="C47" s="4" t="s">
        <v>391</v>
      </c>
      <c r="D47" s="4" t="s">
        <v>97</v>
      </c>
      <c r="E47" s="4" t="n">
        <v>7.587</v>
      </c>
      <c r="F47" s="4" t="s">
        <v>38</v>
      </c>
      <c r="G47" s="4" t="s">
        <v>392</v>
      </c>
      <c r="H47" s="4" t="s">
        <v>393</v>
      </c>
      <c r="I47" s="4" t="s">
        <v>394</v>
      </c>
      <c r="J47" s="4" t="s">
        <v>42</v>
      </c>
      <c r="K47" s="4" t="n">
        <v>6</v>
      </c>
      <c r="L47" s="4" t="s">
        <v>246</v>
      </c>
      <c r="M47" s="4" t="s">
        <v>395</v>
      </c>
      <c r="N47" s="4" t="n">
        <v>115</v>
      </c>
      <c r="O47" s="6" t="s">
        <v>44</v>
      </c>
      <c r="P47" s="6" t="s">
        <v>44</v>
      </c>
      <c r="Q47" s="7"/>
      <c r="R47" s="7"/>
      <c r="S47" s="4" t="s">
        <v>396</v>
      </c>
      <c r="T47" s="4" t="s">
        <v>397</v>
      </c>
      <c r="U47" s="4" t="s">
        <v>47</v>
      </c>
      <c r="V47" s="4" t="n">
        <v>64</v>
      </c>
      <c r="W47" s="4" t="n">
        <v>0.5</v>
      </c>
      <c r="X47" s="4" t="n">
        <v>1.26</v>
      </c>
      <c r="Y47" s="8" t="b">
        <f aca="false">TRUE()</f>
        <v>1</v>
      </c>
    </row>
    <row r="48" customFormat="false" ht="15" hidden="false" customHeight="false" outlineLevel="0" collapsed="false">
      <c r="A48" s="4" t="n">
        <v>47</v>
      </c>
      <c r="B48" s="4" t="s">
        <v>398</v>
      </c>
      <c r="C48" s="4" t="s">
        <v>399</v>
      </c>
      <c r="D48" s="4" t="s">
        <v>50</v>
      </c>
      <c r="E48" s="4" t="n">
        <v>1</v>
      </c>
      <c r="F48" s="4" t="s">
        <v>51</v>
      </c>
      <c r="G48" s="4" t="s">
        <v>400</v>
      </c>
      <c r="H48" s="4" t="s">
        <v>401</v>
      </c>
      <c r="I48" s="4" t="s">
        <v>402</v>
      </c>
      <c r="J48" s="4" t="s">
        <v>119</v>
      </c>
      <c r="K48" s="4" t="n">
        <v>4</v>
      </c>
      <c r="L48" s="4" t="s">
        <v>68</v>
      </c>
      <c r="M48" s="4"/>
      <c r="N48" s="4" t="n">
        <v>268</v>
      </c>
      <c r="O48" s="6" t="s">
        <v>44</v>
      </c>
      <c r="P48" s="6" t="s">
        <v>44</v>
      </c>
      <c r="Q48" s="7"/>
      <c r="R48" s="7"/>
      <c r="S48" s="4" t="s">
        <v>403</v>
      </c>
      <c r="T48" s="4" t="s">
        <v>404</v>
      </c>
      <c r="U48" s="4" t="s">
        <v>170</v>
      </c>
      <c r="V48" s="4" t="n">
        <v>54</v>
      </c>
      <c r="W48" s="4" t="n">
        <v>1</v>
      </c>
      <c r="X48" s="4" t="n">
        <v>4</v>
      </c>
      <c r="Y48" s="8" t="b">
        <f aca="false">TRUE()</f>
        <v>1</v>
      </c>
    </row>
    <row r="49" customFormat="false" ht="15" hidden="false" customHeight="false" outlineLevel="0" collapsed="false">
      <c r="A49" s="4" t="n">
        <v>48</v>
      </c>
      <c r="B49" s="4" t="s">
        <v>405</v>
      </c>
      <c r="C49" s="4" t="s">
        <v>406</v>
      </c>
      <c r="D49" s="4" t="s">
        <v>97</v>
      </c>
      <c r="E49" s="4" t="n">
        <v>30</v>
      </c>
      <c r="F49" s="4" t="s">
        <v>38</v>
      </c>
      <c r="G49" s="4" t="s">
        <v>407</v>
      </c>
      <c r="H49" s="4" t="s">
        <v>408</v>
      </c>
      <c r="I49" s="4" t="s">
        <v>409</v>
      </c>
      <c r="J49" s="4" t="s">
        <v>42</v>
      </c>
      <c r="K49" s="4" t="n">
        <v>30</v>
      </c>
      <c r="L49" s="4" t="s">
        <v>68</v>
      </c>
      <c r="M49" s="4" t="s">
        <v>407</v>
      </c>
      <c r="N49" s="4" t="n">
        <v>393</v>
      </c>
      <c r="O49" s="6" t="s">
        <v>44</v>
      </c>
      <c r="P49" s="6" t="s">
        <v>44</v>
      </c>
      <c r="Q49" s="7"/>
      <c r="R49" s="7"/>
      <c r="S49" s="4" t="s">
        <v>410</v>
      </c>
      <c r="T49" s="4" t="s">
        <v>411</v>
      </c>
      <c r="U49" s="4" t="s">
        <v>47</v>
      </c>
      <c r="V49" s="4" t="n">
        <v>64</v>
      </c>
      <c r="W49" s="4" t="n">
        <v>0.1</v>
      </c>
      <c r="X49" s="4" t="n">
        <v>1</v>
      </c>
      <c r="Y49" s="8" t="b">
        <f aca="false">TRUE()</f>
        <v>1</v>
      </c>
    </row>
    <row r="50" customFormat="false" ht="15" hidden="false" customHeight="false" outlineLevel="0" collapsed="false">
      <c r="A50" s="4" t="n">
        <v>49</v>
      </c>
      <c r="B50" s="4" t="s">
        <v>412</v>
      </c>
      <c r="C50" s="4" t="s">
        <v>413</v>
      </c>
      <c r="D50" s="4" t="s">
        <v>74</v>
      </c>
      <c r="E50" s="4" t="n">
        <v>4.3</v>
      </c>
      <c r="F50" s="4" t="s">
        <v>51</v>
      </c>
      <c r="G50" s="4" t="s">
        <v>414</v>
      </c>
      <c r="H50" s="4" t="s">
        <v>190</v>
      </c>
      <c r="I50" s="4" t="s">
        <v>191</v>
      </c>
      <c r="J50" s="4" t="s">
        <v>55</v>
      </c>
      <c r="K50" s="4" t="n">
        <v>2.2</v>
      </c>
      <c r="L50" s="4" t="s">
        <v>68</v>
      </c>
      <c r="M50" s="4" t="s">
        <v>192</v>
      </c>
      <c r="N50" s="4" t="n">
        <v>526</v>
      </c>
      <c r="O50" s="6" t="s">
        <v>44</v>
      </c>
      <c r="P50" s="6" t="s">
        <v>44</v>
      </c>
      <c r="Q50" s="7"/>
      <c r="R50" s="7"/>
      <c r="S50" s="4" t="s">
        <v>415</v>
      </c>
      <c r="T50" s="4" t="s">
        <v>194</v>
      </c>
      <c r="U50" s="4" t="s">
        <v>47</v>
      </c>
      <c r="V50" s="4" t="n">
        <v>64</v>
      </c>
      <c r="W50" s="4" t="n">
        <v>0.444</v>
      </c>
      <c r="X50" s="4" t="n">
        <v>1.95</v>
      </c>
      <c r="Y50" s="8" t="b">
        <f aca="false">TRUE()</f>
        <v>1</v>
      </c>
    </row>
    <row r="51" customFormat="false" ht="15" hidden="false" customHeight="false" outlineLevel="0" collapsed="false">
      <c r="A51" s="4" t="n">
        <v>50</v>
      </c>
      <c r="B51" s="4" t="s">
        <v>416</v>
      </c>
      <c r="C51" s="4" t="s">
        <v>417</v>
      </c>
      <c r="D51" s="4" t="s">
        <v>63</v>
      </c>
      <c r="E51" s="4" t="n">
        <v>2.3</v>
      </c>
      <c r="F51" s="4" t="s">
        <v>51</v>
      </c>
      <c r="G51" s="4" t="s">
        <v>418</v>
      </c>
      <c r="H51" s="4" t="s">
        <v>419</v>
      </c>
      <c r="I51" s="4" t="s">
        <v>420</v>
      </c>
      <c r="J51" s="4" t="s">
        <v>67</v>
      </c>
      <c r="K51" s="4" t="n">
        <v>1.5</v>
      </c>
      <c r="L51" s="4" t="s">
        <v>68</v>
      </c>
      <c r="M51" s="4" t="s">
        <v>421</v>
      </c>
      <c r="N51" s="4" t="n">
        <v>327</v>
      </c>
      <c r="O51" s="6" t="s">
        <v>44</v>
      </c>
      <c r="P51" s="6" t="s">
        <v>44</v>
      </c>
      <c r="Q51" s="7"/>
      <c r="R51" s="7"/>
      <c r="S51" s="4" t="s">
        <v>422</v>
      </c>
      <c r="T51" s="4" t="s">
        <v>423</v>
      </c>
      <c r="U51" s="4" t="s">
        <v>71</v>
      </c>
      <c r="V51" s="4" t="n">
        <v>139</v>
      </c>
      <c r="W51" s="4" t="n">
        <v>1</v>
      </c>
      <c r="X51" s="4" t="n">
        <v>1.53</v>
      </c>
      <c r="Y51" s="8" t="b">
        <f aca="false">TRUE()</f>
        <v>1</v>
      </c>
    </row>
    <row r="52" customFormat="false" ht="15" hidden="false" customHeight="false" outlineLevel="0" collapsed="false">
      <c r="A52" s="4" t="n">
        <v>51</v>
      </c>
      <c r="B52" s="4" t="s">
        <v>424</v>
      </c>
      <c r="C52" s="4" t="s">
        <v>425</v>
      </c>
      <c r="D52" s="4" t="s">
        <v>37</v>
      </c>
      <c r="E52" s="4" t="n">
        <v>70</v>
      </c>
      <c r="F52" s="4" t="s">
        <v>38</v>
      </c>
      <c r="G52" s="4" t="s">
        <v>426</v>
      </c>
      <c r="H52" s="4" t="s">
        <v>427</v>
      </c>
      <c r="I52" s="4" t="s">
        <v>428</v>
      </c>
      <c r="J52" s="4" t="s">
        <v>42</v>
      </c>
      <c r="K52" s="4" t="n">
        <v>99.9</v>
      </c>
      <c r="L52" s="4" t="s">
        <v>429</v>
      </c>
      <c r="M52" s="4" t="s">
        <v>426</v>
      </c>
      <c r="N52" s="4" t="n">
        <v>0</v>
      </c>
      <c r="O52" s="6" t="s">
        <v>44</v>
      </c>
      <c r="P52" s="6" t="s">
        <v>44</v>
      </c>
      <c r="Q52" s="7"/>
      <c r="R52" s="7"/>
      <c r="S52" s="4" t="s">
        <v>430</v>
      </c>
      <c r="T52" s="4" t="s">
        <v>431</v>
      </c>
      <c r="U52" s="4" t="s">
        <v>47</v>
      </c>
      <c r="V52" s="4" t="n">
        <v>64</v>
      </c>
      <c r="W52" s="4" t="n">
        <v>0.296</v>
      </c>
      <c r="X52" s="4" t="n">
        <v>1.43</v>
      </c>
      <c r="Y52" s="8" t="b">
        <f aca="false">TRUE()</f>
        <v>1</v>
      </c>
    </row>
    <row r="53" customFormat="false" ht="15" hidden="false" customHeight="false" outlineLevel="0" collapsed="false">
      <c r="A53" s="4" t="n">
        <v>52</v>
      </c>
      <c r="B53" s="4" t="s">
        <v>432</v>
      </c>
      <c r="C53" s="4" t="s">
        <v>433</v>
      </c>
      <c r="D53" s="4" t="s">
        <v>74</v>
      </c>
      <c r="E53" s="4" t="n">
        <v>20</v>
      </c>
      <c r="F53" s="4" t="s">
        <v>38</v>
      </c>
      <c r="G53" s="4" t="s">
        <v>434</v>
      </c>
      <c r="H53" s="4" t="s">
        <v>435</v>
      </c>
      <c r="I53" s="4" t="s">
        <v>436</v>
      </c>
      <c r="J53" s="4" t="s">
        <v>55</v>
      </c>
      <c r="K53" s="4" t="n">
        <v>28</v>
      </c>
      <c r="L53" s="4" t="s">
        <v>56</v>
      </c>
      <c r="M53" s="4" t="s">
        <v>437</v>
      </c>
      <c r="N53" s="4" t="n">
        <v>1288</v>
      </c>
      <c r="O53" s="6" t="s">
        <v>44</v>
      </c>
      <c r="P53" s="6" t="s">
        <v>44</v>
      </c>
      <c r="Q53" s="7"/>
      <c r="R53" s="7"/>
      <c r="S53" s="4" t="s">
        <v>438</v>
      </c>
      <c r="T53" s="4" t="s">
        <v>439</v>
      </c>
      <c r="U53" s="4" t="s">
        <v>207</v>
      </c>
      <c r="V53" s="4" t="n">
        <v>18</v>
      </c>
      <c r="W53" s="4" t="n">
        <v>0.222</v>
      </c>
      <c r="X53" s="4" t="n">
        <v>1.4</v>
      </c>
      <c r="Y53" s="8" t="b">
        <f aca="false">TRUE()</f>
        <v>1</v>
      </c>
    </row>
    <row r="54" customFormat="false" ht="15" hidden="false" customHeight="false" outlineLevel="0" collapsed="false">
      <c r="A54" s="4" t="n">
        <v>53</v>
      </c>
      <c r="B54" s="4" t="s">
        <v>440</v>
      </c>
      <c r="C54" s="4" t="s">
        <v>441</v>
      </c>
      <c r="D54" s="4" t="s">
        <v>132</v>
      </c>
      <c r="E54" s="4" t="n">
        <v>30</v>
      </c>
      <c r="F54" s="4" t="s">
        <v>38</v>
      </c>
      <c r="G54" s="4" t="s">
        <v>442</v>
      </c>
      <c r="H54" s="4" t="s">
        <v>443</v>
      </c>
      <c r="I54" s="4" t="s">
        <v>444</v>
      </c>
      <c r="J54" s="4" t="s">
        <v>55</v>
      </c>
      <c r="K54" s="4" t="n">
        <v>30</v>
      </c>
      <c r="L54" s="4" t="s">
        <v>136</v>
      </c>
      <c r="M54" s="4" t="s">
        <v>445</v>
      </c>
      <c r="N54" s="4" t="n">
        <v>757</v>
      </c>
      <c r="O54" s="6" t="s">
        <v>44</v>
      </c>
      <c r="P54" s="6" t="s">
        <v>44</v>
      </c>
      <c r="Q54" s="7"/>
      <c r="R54" s="7"/>
      <c r="S54" s="4" t="s">
        <v>446</v>
      </c>
      <c r="T54" s="4" t="s">
        <v>447</v>
      </c>
      <c r="U54" s="4" t="s">
        <v>71</v>
      </c>
      <c r="V54" s="4" t="n">
        <v>139</v>
      </c>
      <c r="W54" s="4" t="n">
        <v>1</v>
      </c>
      <c r="X54" s="4" t="n">
        <v>1</v>
      </c>
      <c r="Y54" s="8" t="b">
        <f aca="false">TRUE()</f>
        <v>1</v>
      </c>
    </row>
    <row r="55" customFormat="false" ht="15" hidden="false" customHeight="false" outlineLevel="0" collapsed="false">
      <c r="A55" s="4" t="n">
        <v>54</v>
      </c>
      <c r="B55" s="4" t="s">
        <v>448</v>
      </c>
      <c r="C55" s="4" t="s">
        <v>449</v>
      </c>
      <c r="D55" s="4" t="s">
        <v>235</v>
      </c>
      <c r="E55" s="4" t="n">
        <v>50</v>
      </c>
      <c r="F55" s="4" t="s">
        <v>38</v>
      </c>
      <c r="G55" s="4" t="s">
        <v>450</v>
      </c>
      <c r="H55" s="4" t="s">
        <v>253</v>
      </c>
      <c r="I55" s="4" t="s">
        <v>254</v>
      </c>
      <c r="J55" s="4" t="s">
        <v>55</v>
      </c>
      <c r="K55" s="4"/>
      <c r="L55" s="4" t="s">
        <v>56</v>
      </c>
      <c r="M55" s="4" t="s">
        <v>255</v>
      </c>
      <c r="N55" s="4" t="n">
        <v>1629</v>
      </c>
      <c r="O55" s="6" t="s">
        <v>44</v>
      </c>
      <c r="P55" s="6" t="s">
        <v>44</v>
      </c>
      <c r="Q55" s="7"/>
      <c r="R55" s="7"/>
      <c r="S55" s="4" t="s">
        <v>451</v>
      </c>
      <c r="T55" s="4" t="s">
        <v>257</v>
      </c>
      <c r="U55" s="4" t="s">
        <v>207</v>
      </c>
      <c r="V55" s="4" t="n">
        <v>18</v>
      </c>
      <c r="W55" s="4" t="n">
        <v>0.207</v>
      </c>
      <c r="X55" s="4" t="n">
        <v>1</v>
      </c>
      <c r="Y55" s="8" t="b">
        <f aca="false">TRUE()</f>
        <v>1</v>
      </c>
    </row>
    <row r="56" customFormat="false" ht="15" hidden="false" customHeight="false" outlineLevel="0" collapsed="false">
      <c r="A56" s="4" t="n">
        <v>55</v>
      </c>
      <c r="B56" s="4" t="s">
        <v>452</v>
      </c>
      <c r="C56" s="4" t="s">
        <v>453</v>
      </c>
      <c r="D56" s="4" t="s">
        <v>97</v>
      </c>
      <c r="E56" s="4" t="n">
        <v>24.2</v>
      </c>
      <c r="F56" s="4" t="s">
        <v>38</v>
      </c>
      <c r="G56" s="4" t="s">
        <v>454</v>
      </c>
      <c r="H56" s="4" t="s">
        <v>455</v>
      </c>
      <c r="I56" s="4" t="s">
        <v>456</v>
      </c>
      <c r="J56" s="4" t="s">
        <v>42</v>
      </c>
      <c r="K56" s="4" t="n">
        <v>25</v>
      </c>
      <c r="L56" s="4" t="s">
        <v>56</v>
      </c>
      <c r="M56" s="4" t="s">
        <v>457</v>
      </c>
      <c r="N56" s="4" t="n">
        <v>973</v>
      </c>
      <c r="O56" s="6" t="s">
        <v>44</v>
      </c>
      <c r="P56" s="6" t="s">
        <v>44</v>
      </c>
      <c r="Q56" s="7"/>
      <c r="R56" s="7"/>
      <c r="S56" s="4" t="s">
        <v>458</v>
      </c>
      <c r="T56" s="4" t="s">
        <v>459</v>
      </c>
      <c r="U56" s="4" t="s">
        <v>47</v>
      </c>
      <c r="V56" s="4" t="n">
        <v>64</v>
      </c>
      <c r="W56" s="4" t="n">
        <v>0.296</v>
      </c>
      <c r="X56" s="4" t="n">
        <v>1.03</v>
      </c>
      <c r="Y56" s="8" t="b">
        <f aca="false">TRUE()</f>
        <v>1</v>
      </c>
    </row>
    <row r="57" customFormat="false" ht="15" hidden="false" customHeight="false" outlineLevel="0" collapsed="false">
      <c r="A57" s="4" t="n">
        <v>56</v>
      </c>
      <c r="B57" s="4" t="s">
        <v>460</v>
      </c>
      <c r="C57" s="4" t="s">
        <v>461</v>
      </c>
      <c r="D57" s="4" t="s">
        <v>63</v>
      </c>
      <c r="E57" s="4" t="n">
        <v>2.3</v>
      </c>
      <c r="F57" s="4" t="s">
        <v>51</v>
      </c>
      <c r="G57" s="4" t="s">
        <v>462</v>
      </c>
      <c r="H57" s="4" t="s">
        <v>463</v>
      </c>
      <c r="I57" s="4" t="s">
        <v>464</v>
      </c>
      <c r="J57" s="4" t="s">
        <v>67</v>
      </c>
      <c r="K57" s="4" t="n">
        <v>2.3</v>
      </c>
      <c r="L57" s="4" t="s">
        <v>68</v>
      </c>
      <c r="M57" s="4" t="s">
        <v>465</v>
      </c>
      <c r="N57" s="4" t="n">
        <v>1614</v>
      </c>
      <c r="O57" s="6" t="s">
        <v>44</v>
      </c>
      <c r="P57" s="6" t="s">
        <v>44</v>
      </c>
      <c r="Q57" s="7"/>
      <c r="R57" s="7"/>
      <c r="S57" s="4" t="s">
        <v>466</v>
      </c>
      <c r="T57" s="4" t="s">
        <v>467</v>
      </c>
      <c r="U57" s="4" t="s">
        <v>71</v>
      </c>
      <c r="V57" s="4" t="n">
        <v>139</v>
      </c>
      <c r="W57" s="4" t="n">
        <v>1</v>
      </c>
      <c r="X57" s="4" t="n">
        <v>1</v>
      </c>
      <c r="Y57" s="8" t="b">
        <f aca="false">TRUE()</f>
        <v>1</v>
      </c>
    </row>
    <row r="58" customFormat="false" ht="15" hidden="false" customHeight="false" outlineLevel="0" collapsed="false">
      <c r="A58" s="4" t="n">
        <v>57</v>
      </c>
      <c r="B58" s="4" t="s">
        <v>468</v>
      </c>
      <c r="C58" s="4" t="s">
        <v>469</v>
      </c>
      <c r="D58" s="4" t="s">
        <v>470</v>
      </c>
      <c r="E58" s="4" t="n">
        <v>49.9</v>
      </c>
      <c r="F58" s="4" t="s">
        <v>38</v>
      </c>
      <c r="G58" s="4" t="s">
        <v>471</v>
      </c>
      <c r="H58" s="4" t="s">
        <v>472</v>
      </c>
      <c r="I58" s="4" t="s">
        <v>473</v>
      </c>
      <c r="J58" s="4" t="s">
        <v>474</v>
      </c>
      <c r="K58" s="4" t="n">
        <v>40</v>
      </c>
      <c r="L58" s="4" t="s">
        <v>56</v>
      </c>
      <c r="M58" s="4" t="s">
        <v>475</v>
      </c>
      <c r="N58" s="4" t="n">
        <v>322</v>
      </c>
      <c r="O58" s="6" t="s">
        <v>44</v>
      </c>
      <c r="P58" s="6" t="s">
        <v>44</v>
      </c>
      <c r="Q58" s="7"/>
      <c r="R58" s="7"/>
      <c r="S58" s="4" t="s">
        <v>476</v>
      </c>
      <c r="T58" s="4" t="s">
        <v>477</v>
      </c>
      <c r="U58" s="4" t="s">
        <v>60</v>
      </c>
      <c r="V58" s="4" t="n">
        <v>74</v>
      </c>
      <c r="W58" s="4" t="n">
        <v>0.64</v>
      </c>
      <c r="X58" s="4" t="n">
        <v>1.25</v>
      </c>
      <c r="Y58" s="8" t="b">
        <f aca="false">FALSE()</f>
        <v>0</v>
      </c>
    </row>
    <row r="59" customFormat="false" ht="15" hidden="false" customHeight="false" outlineLevel="0" collapsed="false">
      <c r="A59" s="4" t="n">
        <v>58</v>
      </c>
      <c r="B59" s="4" t="s">
        <v>478</v>
      </c>
      <c r="C59" s="4" t="s">
        <v>479</v>
      </c>
      <c r="D59" s="4" t="s">
        <v>74</v>
      </c>
      <c r="E59" s="4" t="n">
        <v>1.2</v>
      </c>
      <c r="F59" s="4" t="s">
        <v>38</v>
      </c>
      <c r="G59" s="4" t="s">
        <v>480</v>
      </c>
      <c r="H59" s="4" t="s">
        <v>481</v>
      </c>
      <c r="I59" s="4" t="s">
        <v>482</v>
      </c>
      <c r="J59" s="4" t="s">
        <v>55</v>
      </c>
      <c r="K59" s="4" t="n">
        <v>5.8</v>
      </c>
      <c r="L59" s="4" t="s">
        <v>68</v>
      </c>
      <c r="M59" s="4"/>
      <c r="N59" s="4" t="n">
        <v>1674</v>
      </c>
      <c r="O59" s="6" t="s">
        <v>44</v>
      </c>
      <c r="P59" s="6" t="s">
        <v>44</v>
      </c>
      <c r="Q59" s="7"/>
      <c r="R59" s="7"/>
      <c r="S59" s="4" t="s">
        <v>483</v>
      </c>
      <c r="T59" s="4" t="s">
        <v>484</v>
      </c>
      <c r="U59" s="4" t="s">
        <v>170</v>
      </c>
      <c r="V59" s="4" t="n">
        <v>54</v>
      </c>
      <c r="W59" s="4" t="n">
        <v>1</v>
      </c>
      <c r="X59" s="4" t="n">
        <v>4.83</v>
      </c>
      <c r="Y59" s="8" t="b">
        <f aca="false">TRUE()</f>
        <v>1</v>
      </c>
    </row>
    <row r="60" customFormat="false" ht="15" hidden="false" customHeight="false" outlineLevel="0" collapsed="false">
      <c r="A60" s="4" t="n">
        <v>59</v>
      </c>
      <c r="B60" s="4" t="s">
        <v>485</v>
      </c>
      <c r="C60" s="4" t="s">
        <v>486</v>
      </c>
      <c r="D60" s="4" t="s">
        <v>37</v>
      </c>
      <c r="E60" s="4" t="n">
        <v>100</v>
      </c>
      <c r="F60" s="4" t="s">
        <v>38</v>
      </c>
      <c r="G60" s="4" t="s">
        <v>487</v>
      </c>
      <c r="H60" s="4" t="s">
        <v>488</v>
      </c>
      <c r="I60" s="4" t="s">
        <v>489</v>
      </c>
      <c r="J60" s="4" t="s">
        <v>42</v>
      </c>
      <c r="K60" s="4" t="n">
        <v>200</v>
      </c>
      <c r="L60" s="4" t="s">
        <v>56</v>
      </c>
      <c r="M60" s="4" t="s">
        <v>490</v>
      </c>
      <c r="N60" s="4" t="n">
        <v>1575</v>
      </c>
      <c r="O60" s="6" t="s">
        <v>44</v>
      </c>
      <c r="P60" s="6" t="s">
        <v>44</v>
      </c>
      <c r="Q60" s="7"/>
      <c r="R60" s="7"/>
      <c r="S60" s="4" t="s">
        <v>491</v>
      </c>
      <c r="T60" s="4" t="s">
        <v>492</v>
      </c>
      <c r="U60" s="4" t="s">
        <v>207</v>
      </c>
      <c r="V60" s="4" t="n">
        <v>18</v>
      </c>
      <c r="W60" s="4" t="n">
        <v>0.303</v>
      </c>
      <c r="X60" s="4" t="n">
        <v>2</v>
      </c>
      <c r="Y60" s="8" t="b">
        <f aca="false">TRUE()</f>
        <v>1</v>
      </c>
    </row>
    <row r="61" customFormat="false" ht="15" hidden="false" customHeight="false" outlineLevel="0" collapsed="false">
      <c r="A61" s="4" t="n">
        <v>60</v>
      </c>
      <c r="B61" s="4" t="s">
        <v>493</v>
      </c>
      <c r="C61" s="4" t="s">
        <v>494</v>
      </c>
      <c r="D61" s="4" t="s">
        <v>50</v>
      </c>
      <c r="E61" s="4" t="n">
        <v>2</v>
      </c>
      <c r="F61" s="4" t="s">
        <v>51</v>
      </c>
      <c r="G61" s="4" t="s">
        <v>495</v>
      </c>
      <c r="H61" s="4" t="s">
        <v>496</v>
      </c>
      <c r="I61" s="4" t="s">
        <v>497</v>
      </c>
      <c r="J61" s="4" t="s">
        <v>119</v>
      </c>
      <c r="K61" s="4" t="n">
        <v>2</v>
      </c>
      <c r="L61" s="4" t="s">
        <v>246</v>
      </c>
      <c r="M61" s="4"/>
      <c r="N61" s="4" t="n">
        <v>1887</v>
      </c>
      <c r="O61" s="6" t="s">
        <v>44</v>
      </c>
      <c r="P61" s="6" t="s">
        <v>44</v>
      </c>
      <c r="Q61" s="7"/>
      <c r="R61" s="7"/>
      <c r="S61" s="4" t="s">
        <v>498</v>
      </c>
      <c r="T61" s="4" t="s">
        <v>499</v>
      </c>
      <c r="U61" s="4" t="s">
        <v>71</v>
      </c>
      <c r="V61" s="4" t="n">
        <v>139</v>
      </c>
      <c r="W61" s="4" t="n">
        <v>1</v>
      </c>
      <c r="X61" s="4" t="n">
        <v>1</v>
      </c>
      <c r="Y61" s="8" t="b">
        <f aca="false">TRUE()</f>
        <v>1</v>
      </c>
    </row>
  </sheetData>
  <autoFilter ref="A1:R61"/>
  <dataValidations count="1">
    <dataValidation allowBlank="true" errorStyle="stop" operator="between" showDropDown="false" showErrorMessage="false" showInputMessage="false" sqref="Q2:Q61" type="list">
      <formula1>"same,different,unsure"</formula1>
      <formula2>0</formula2>
    </dataValidation>
  </dataValidations>
  <hyperlinks>
    <hyperlink ref="O2" r:id="rId2" display="open map"/>
    <hyperlink ref="P2" r:id="rId3" display="open map"/>
    <hyperlink ref="O3" r:id="rId4" display="open map"/>
    <hyperlink ref="P3" r:id="rId5" display="open map"/>
    <hyperlink ref="O4" r:id="rId6" display="open map"/>
    <hyperlink ref="P4" r:id="rId7" display="open map"/>
    <hyperlink ref="O5" r:id="rId8" display="open map"/>
    <hyperlink ref="P5" r:id="rId9" display="open map"/>
    <hyperlink ref="O6" r:id="rId10" display="open map"/>
    <hyperlink ref="P6" r:id="rId11" display="open map"/>
    <hyperlink ref="O7" r:id="rId12" display="open map"/>
    <hyperlink ref="P7" r:id="rId13" display="open map"/>
    <hyperlink ref="O8" r:id="rId14" display="open map"/>
    <hyperlink ref="P8" r:id="rId15" display="open map"/>
    <hyperlink ref="O9" r:id="rId16" display="open map"/>
    <hyperlink ref="P9" r:id="rId17" display="open map"/>
    <hyperlink ref="O10" r:id="rId18" display="open map"/>
    <hyperlink ref="P10" r:id="rId19" display="open map"/>
    <hyperlink ref="O11" r:id="rId20" display="open map"/>
    <hyperlink ref="P11" r:id="rId21" display="open map"/>
    <hyperlink ref="O12" r:id="rId22" display="open map"/>
    <hyperlink ref="P12" r:id="rId23" display="open map"/>
    <hyperlink ref="O13" r:id="rId24" display="open map"/>
    <hyperlink ref="P13" r:id="rId25" display="open map"/>
    <hyperlink ref="O14" r:id="rId26" display="open map"/>
    <hyperlink ref="P14" r:id="rId27" display="open map"/>
    <hyperlink ref="O15" r:id="rId28" display="open map"/>
    <hyperlink ref="P15" r:id="rId29" display="open map"/>
    <hyperlink ref="O16" r:id="rId30" display="open map"/>
    <hyperlink ref="P16" r:id="rId31" display="open map"/>
    <hyperlink ref="O17" r:id="rId32" display="open map"/>
    <hyperlink ref="P17" r:id="rId33" display="open map"/>
    <hyperlink ref="O18" r:id="rId34" display="open map"/>
    <hyperlink ref="P18" r:id="rId35" display="open map"/>
    <hyperlink ref="O19" r:id="rId36" display="open map"/>
    <hyperlink ref="P19" r:id="rId37" display="open map"/>
    <hyperlink ref="O20" r:id="rId38" display="open map"/>
    <hyperlink ref="P20" r:id="rId39" display="open map"/>
    <hyperlink ref="O21" r:id="rId40" display="open map"/>
    <hyperlink ref="P21" r:id="rId41" display="open map"/>
    <hyperlink ref="O22" r:id="rId42" display="open map"/>
    <hyperlink ref="P22" r:id="rId43" display="open map"/>
    <hyperlink ref="O23" r:id="rId44" display="open map"/>
    <hyperlink ref="P23" r:id="rId45" display="open map"/>
    <hyperlink ref="O24" r:id="rId46" display="open map"/>
    <hyperlink ref="P24" r:id="rId47" display="open map"/>
    <hyperlink ref="O25" r:id="rId48" display="open map"/>
    <hyperlink ref="P25" r:id="rId49" display="open map"/>
    <hyperlink ref="O26" r:id="rId50" display="open map"/>
    <hyperlink ref="P26" r:id="rId51" display="open map"/>
    <hyperlink ref="O27" r:id="rId52" display="open map"/>
    <hyperlink ref="P27" r:id="rId53" display="open map"/>
    <hyperlink ref="O28" r:id="rId54" display="open map"/>
    <hyperlink ref="P28" r:id="rId55" display="open map"/>
    <hyperlink ref="O29" r:id="rId56" display="open map"/>
    <hyperlink ref="P29" r:id="rId57" display="open map"/>
    <hyperlink ref="O30" r:id="rId58" display="open map"/>
    <hyperlink ref="P30" r:id="rId59" display="open map"/>
    <hyperlink ref="O31" r:id="rId60" display="open map"/>
    <hyperlink ref="P31" r:id="rId61" display="open map"/>
    <hyperlink ref="O32" r:id="rId62" display="open map"/>
    <hyperlink ref="P32" r:id="rId63" display="open map"/>
    <hyperlink ref="O33" r:id="rId64" display="open map"/>
    <hyperlink ref="P33" r:id="rId65" display="open map"/>
    <hyperlink ref="O34" r:id="rId66" display="open map"/>
    <hyperlink ref="P34" r:id="rId67" display="open map"/>
    <hyperlink ref="O35" r:id="rId68" display="open map"/>
    <hyperlink ref="P35" r:id="rId69" display="open map"/>
    <hyperlink ref="O36" r:id="rId70" display="open map"/>
    <hyperlink ref="P36" r:id="rId71" display="open map"/>
    <hyperlink ref="O37" r:id="rId72" display="open map"/>
    <hyperlink ref="P37" r:id="rId73" display="open map"/>
    <hyperlink ref="O38" r:id="rId74" display="open map"/>
    <hyperlink ref="P38" r:id="rId75" display="open map"/>
    <hyperlink ref="O39" r:id="rId76" display="open map"/>
    <hyperlink ref="P39" r:id="rId77" display="open map"/>
    <hyperlink ref="O40" r:id="rId78" display="open map"/>
    <hyperlink ref="P40" r:id="rId79" display="open map"/>
    <hyperlink ref="O41" r:id="rId80" display="open map"/>
    <hyperlink ref="P41" r:id="rId81" display="open map"/>
    <hyperlink ref="O42" r:id="rId82" display="open map"/>
    <hyperlink ref="P42" r:id="rId83" display="open map"/>
    <hyperlink ref="O43" r:id="rId84" display="open map"/>
    <hyperlink ref="P43" r:id="rId85" display="open map"/>
    <hyperlink ref="O44" r:id="rId86" display="open map"/>
    <hyperlink ref="P44" r:id="rId87" display="open map"/>
    <hyperlink ref="O45" r:id="rId88" display="open map"/>
    <hyperlink ref="P45" r:id="rId89" display="open map"/>
    <hyperlink ref="O46" r:id="rId90" display="open map"/>
    <hyperlink ref="P46" r:id="rId91" display="open map"/>
    <hyperlink ref="O47" r:id="rId92" display="open map"/>
    <hyperlink ref="P47" r:id="rId93" display="open map"/>
    <hyperlink ref="O48" r:id="rId94" display="open map"/>
    <hyperlink ref="P48" r:id="rId95" display="open map"/>
    <hyperlink ref="O49" r:id="rId96" display="open map"/>
    <hyperlink ref="P49" r:id="rId97" display="open map"/>
    <hyperlink ref="O50" r:id="rId98" display="open map"/>
    <hyperlink ref="P50" r:id="rId99" display="open map"/>
    <hyperlink ref="O51" r:id="rId100" display="open map"/>
    <hyperlink ref="P51" r:id="rId101" display="open map"/>
    <hyperlink ref="O52" r:id="rId102" display="open map"/>
    <hyperlink ref="P52" r:id="rId103" display="open map"/>
    <hyperlink ref="O53" r:id="rId104" display="open map"/>
    <hyperlink ref="P53" r:id="rId105" display="open map"/>
    <hyperlink ref="O54" r:id="rId106" display="open map"/>
    <hyperlink ref="P54" r:id="rId107" display="open map"/>
    <hyperlink ref="O55" r:id="rId108" display="open map"/>
    <hyperlink ref="P55" r:id="rId109" display="open map"/>
    <hyperlink ref="O56" r:id="rId110" display="open map"/>
    <hyperlink ref="P56" r:id="rId111" display="open map"/>
    <hyperlink ref="O57" r:id="rId112" display="open map"/>
    <hyperlink ref="P57" r:id="rId113" display="open map"/>
    <hyperlink ref="O58" r:id="rId114" display="open map"/>
    <hyperlink ref="P58" r:id="rId115" display="open map"/>
    <hyperlink ref="O59" r:id="rId116" display="open map"/>
    <hyperlink ref="P59" r:id="rId117" display="open map"/>
    <hyperlink ref="O60" r:id="rId118" display="open map"/>
    <hyperlink ref="P60" r:id="rId119" display="open map"/>
    <hyperlink ref="O61" r:id="rId120" display="open map"/>
    <hyperlink ref="P61" r:id="rId121" display="open map"/>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22"/>
  <legacyDrawing r:id="rId123"/>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2026-10-13T20:06:42Z</dcterms:created>
  <dc:creator>openpyxl</dc:creator>
  <dc:description/>
  <dc:language>en-US</dc:language>
  <cp:lastModifiedBy/>
  <dcterms:modified xsi:type="dcterms:W3CDTF">2026-10-13T20:06:42Z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